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M:\01-Usuario\Daniel\Modelo Vendas Diário\"/>
    </mc:Choice>
  </mc:AlternateContent>
  <xr:revisionPtr revIDLastSave="0" documentId="13_ncr:1_{ECA0A91E-B7DA-495F-A8AE-EBEC436263F6}" xr6:coauthVersionLast="47" xr6:coauthVersionMax="47" xr10:uidLastSave="{00000000-0000-0000-0000-000000000000}"/>
  <bookViews>
    <workbookView xWindow="1860" yWindow="1860" windowWidth="21600" windowHeight="11295" tabRatio="500" xr2:uid="{00000000-000D-0000-FFFF-FFFF00000000}"/>
  </bookViews>
  <sheets>
    <sheet name="Planilha1" sheetId="1" r:id="rId1"/>
    <sheet name="Base Rateio" sheetId="2" r:id="rId2"/>
    <sheet name="Base Rateio Produt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1" i="2" l="1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N26" i="1"/>
  <c r="M26" i="1"/>
  <c r="L26" i="1"/>
  <c r="K26" i="1"/>
  <c r="J26" i="1"/>
  <c r="I26" i="1"/>
  <c r="H26" i="1"/>
  <c r="G26" i="1"/>
  <c r="F26" i="1"/>
  <c r="E26" i="1"/>
  <c r="D26" i="1"/>
  <c r="C2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<sst xmlns="http://schemas.openxmlformats.org/spreadsheetml/2006/main" count="1190" uniqueCount="49">
  <si>
    <t>CIA</t>
  </si>
  <si>
    <t>ENEL CE</t>
  </si>
  <si>
    <t>ENEL RJ</t>
  </si>
  <si>
    <t>ENEL SP</t>
  </si>
  <si>
    <t>CPFL PAULISTA</t>
  </si>
  <si>
    <t>RGE</t>
  </si>
  <si>
    <t>CPFL SANTA CRUZ</t>
  </si>
  <si>
    <t>CPFL PIRATININGA</t>
  </si>
  <si>
    <t>CELPE</t>
  </si>
  <si>
    <t>COELBA</t>
  </si>
  <si>
    <t>COSERN</t>
  </si>
  <si>
    <t>ELEKTRO</t>
  </si>
  <si>
    <t>COPEL</t>
  </si>
  <si>
    <t>Total</t>
  </si>
  <si>
    <t>Canal</t>
  </si>
  <si>
    <t>Reallizi</t>
  </si>
  <si>
    <t>Corban</t>
  </si>
  <si>
    <t>Lojas</t>
  </si>
  <si>
    <t>Canal Interno</t>
  </si>
  <si>
    <t>Canal Digital</t>
  </si>
  <si>
    <t>Mês</t>
  </si>
  <si>
    <t>Cia</t>
  </si>
  <si>
    <t>Produção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</si>
  <si>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</si>
  <si>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</si>
  <si>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</si>
  <si>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</si>
  <si>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</si>
  <si>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</si>
  <si>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</si>
  <si>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</si>
  <si>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</si>
  <si>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</si>
  <si>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</si>
  <si>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</si>
  <si>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Produto</t>
  </si>
  <si>
    <t>Meta</t>
  </si>
  <si>
    <t>CANAL DIGITAL</t>
  </si>
  <si>
    <t>Outros</t>
  </si>
  <si>
    <t>CANAL INTERNO</t>
  </si>
  <si>
    <t>Boleto</t>
  </si>
  <si>
    <t>CP Auto</t>
  </si>
  <si>
    <t>CP Refin</t>
  </si>
  <si>
    <t>Crédito do Trabalhador</t>
  </si>
  <si>
    <t>CDC LOJISTA</t>
  </si>
  <si>
    <t>CDC Energia</t>
  </si>
  <si>
    <t>CORBAN</t>
  </si>
  <si>
    <t>LOJAS</t>
  </si>
  <si>
    <t>REALLIZI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</si>
</sst>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 &quot;* #,##0_-;&quot;-R$ &quot;* #,##0_-;_-&quot;R$ &quot;* \-??_-;_-@_-"/>
  </numFmts>
  <fonts count="7" x14ac:knownFonts="1">
    <font>
      <sz val="11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sz val="10"/>
      <name val="Aptos Narrow"/>
      <family val="2"/>
      <charset val="1"/>
    </font>
    <font>
      <sz val="11"/>
      <name val="Aptos Narrow"/>
      <family val="2"/>
      <charset val="1"/>
    </font>
    <font>
      <i/>
      <sz val="10"/>
      <color rgb="FF808080"/>
      <name val="Aptos Narrow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0" fontId="6" fillId="0" borderId="1" xfId="0" applyFont="1" applyBorder="1"/>
    <xf numFmtId="164" fontId="6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9"/>
  <sheetViews>
    <sheetView showGridLines="0" tabSelected="1" zoomScaleNormal="100" workbookViewId="0">
      <selection activeCell="H18" sqref="H18"/>
    </sheetView>
  </sheetViews>
  <sheetFormatPr defaultColWidth="8.5703125" defaultRowHeight="15" x14ac:dyDescent="0.25"/>
  <cols>
    <col min="2" max="2" width="16.7109375" customWidth="1"/>
    <col min="3" max="14" width="15" customWidth="1"/>
    <col min="15" max="16" width="11.42578125" customWidth="1"/>
  </cols>
  <sheetData>
    <row r="3" spans="1:14" ht="14.25" customHeight="1" x14ac:dyDescent="0.25">
      <c r="A3" s="1"/>
      <c r="B3" s="7" t="s">
        <v>0</v>
      </c>
      <c r="C3" s="8">
        <v>46023</v>
      </c>
      <c r="D3" s="8">
        <v>46054</v>
      </c>
      <c r="E3" s="8">
        <v>46082</v>
      </c>
      <c r="F3" s="8">
        <v>46113</v>
      </c>
      <c r="G3" s="8">
        <v>46143</v>
      </c>
      <c r="H3" s="8">
        <v>46174</v>
      </c>
      <c r="I3" s="8">
        <v>46204</v>
      </c>
      <c r="J3" s="8">
        <v>46235</v>
      </c>
      <c r="K3" s="8">
        <v>46266</v>
      </c>
      <c r="L3" s="8">
        <v>46296</v>
      </c>
      <c r="M3" s="8">
        <v>46327</v>
      </c>
      <c r="N3" s="8">
        <v>46357</v>
      </c>
    </row>
    <row r="4" spans="1:14" ht="14.25" customHeight="1" x14ac:dyDescent="0.25">
      <c r="A4" s="1"/>
      <c r="B4" t="s">
        <v>1</v>
      </c>
      <c r="C4" s="2">
        <v>5718986.0934366398</v>
      </c>
      <c r="D4" s="2">
        <v>5066120.0355610102</v>
      </c>
      <c r="E4" s="2">
        <v>6530518.4332205905</v>
      </c>
      <c r="F4" s="2">
        <v>6064742.37797279</v>
      </c>
      <c r="G4" s="2">
        <v>6141379.5809653299</v>
      </c>
      <c r="H4" s="2">
        <v>6767464.2822238896</v>
      </c>
      <c r="I4" s="2">
        <v>6625456.5454041604</v>
      </c>
      <c r="J4" s="2">
        <v>6136685.44909757</v>
      </c>
      <c r="K4" s="2">
        <v>6223152.63312189</v>
      </c>
      <c r="L4" s="2">
        <v>6316297.2499223603</v>
      </c>
      <c r="M4" s="2">
        <v>5749554.6318197697</v>
      </c>
      <c r="N4" s="2">
        <v>6872642.7138559502</v>
      </c>
    </row>
    <row r="5" spans="1:14" ht="14.25" customHeight="1" x14ac:dyDescent="0.25">
      <c r="A5" s="1"/>
      <c r="B5" t="s">
        <v>2</v>
      </c>
      <c r="C5" s="2">
        <v>3904584.9132882198</v>
      </c>
      <c r="D5" s="2">
        <v>3458846.64459323</v>
      </c>
      <c r="E5" s="2">
        <v>4458651.1199192302</v>
      </c>
      <c r="F5" s="2">
        <v>4140646.82185341</v>
      </c>
      <c r="G5" s="2">
        <v>4192970.16408792</v>
      </c>
      <c r="H5" s="2">
        <v>4620423.7090056604</v>
      </c>
      <c r="I5" s="2">
        <v>4523469.2388080601</v>
      </c>
      <c r="J5" s="2">
        <v>4189765.2889278098</v>
      </c>
      <c r="K5" s="2">
        <v>4248799.9598851996</v>
      </c>
      <c r="L5" s="2">
        <v>4312393.58637268</v>
      </c>
      <c r="M5" s="2">
        <v>3925455.30042363</v>
      </c>
      <c r="N5" s="2">
        <v>4692233.3113799598</v>
      </c>
    </row>
    <row r="6" spans="1:14" ht="14.25" customHeight="1" x14ac:dyDescent="0.25">
      <c r="A6" s="1"/>
      <c r="B6" t="s">
        <v>3</v>
      </c>
      <c r="C6" s="2">
        <v>14794255.3959527</v>
      </c>
      <c r="D6" s="2">
        <v>13105377.8498706</v>
      </c>
      <c r="E6" s="2">
        <v>16893581.4828998</v>
      </c>
      <c r="F6" s="2">
        <v>15688680.857845999</v>
      </c>
      <c r="G6" s="2">
        <v>15886931.0958042</v>
      </c>
      <c r="H6" s="2">
        <v>17506528.838933501</v>
      </c>
      <c r="I6" s="2">
        <v>17139173.7357058</v>
      </c>
      <c r="J6" s="2">
        <v>15874788.001804801</v>
      </c>
      <c r="K6" s="2">
        <v>16098467.0915813</v>
      </c>
      <c r="L6" s="2">
        <v>16339419.810680499</v>
      </c>
      <c r="M6" s="2">
        <v>14873332.133775201</v>
      </c>
      <c r="N6" s="2">
        <v>17778611.434395</v>
      </c>
    </row>
    <row r="7" spans="1:14" ht="14.25" customHeight="1" x14ac:dyDescent="0.25">
      <c r="A7" s="1"/>
      <c r="B7" t="s">
        <v>4</v>
      </c>
      <c r="C7" s="3">
        <v>17585340.088084999</v>
      </c>
      <c r="D7" s="3">
        <v>15657310.140046701</v>
      </c>
      <c r="E7" s="3">
        <v>20138018.077643</v>
      </c>
      <c r="F7" s="3">
        <v>18729839.5281487</v>
      </c>
      <c r="G7" s="3">
        <v>18974745.180072501</v>
      </c>
      <c r="H7" s="3">
        <v>20911938.0071445</v>
      </c>
      <c r="I7" s="3">
        <v>16758560.0377624</v>
      </c>
      <c r="J7" s="3">
        <v>22120285.4557615</v>
      </c>
      <c r="K7" s="3">
        <v>22586867.572818</v>
      </c>
      <c r="L7" s="3">
        <v>23041051.116171598</v>
      </c>
      <c r="M7" s="3">
        <v>21284463.844824199</v>
      </c>
      <c r="N7" s="3">
        <v>24914201.224217098</v>
      </c>
    </row>
    <row r="8" spans="1:14" ht="14.25" customHeight="1" x14ac:dyDescent="0.25">
      <c r="A8" s="1"/>
      <c r="B8" t="s">
        <v>5</v>
      </c>
      <c r="C8" s="3">
        <v>10561150.0542819</v>
      </c>
      <c r="D8" s="3">
        <v>9403241.6209853403</v>
      </c>
      <c r="E8" s="3">
        <v>12094200.6039412</v>
      </c>
      <c r="F8" s="3">
        <v>11248497.0298314</v>
      </c>
      <c r="G8" s="3">
        <v>11395578.935905</v>
      </c>
      <c r="H8" s="3">
        <v>12558990.2790072</v>
      </c>
      <c r="I8" s="3">
        <v>10064614.4098414</v>
      </c>
      <c r="J8" s="3">
        <v>13284682.1711531</v>
      </c>
      <c r="K8" s="3">
        <v>13564895.333150299</v>
      </c>
      <c r="L8" s="3">
        <v>13837662.3384807</v>
      </c>
      <c r="M8" s="3">
        <v>12782716.4765743</v>
      </c>
      <c r="N8" s="3">
        <v>14962611.828577099</v>
      </c>
    </row>
    <row r="9" spans="1:14" ht="14.25" customHeight="1" x14ac:dyDescent="0.25">
      <c r="A9" s="1"/>
      <c r="B9" t="s">
        <v>6</v>
      </c>
      <c r="C9" s="3">
        <v>1874994.74649356</v>
      </c>
      <c r="D9" s="3">
        <v>1669423.17349319</v>
      </c>
      <c r="E9" s="3">
        <v>2147167.9200538401</v>
      </c>
      <c r="F9" s="3">
        <v>1997024.2566841701</v>
      </c>
      <c r="G9" s="3">
        <v>2023136.7349441</v>
      </c>
      <c r="H9" s="3">
        <v>2229685.2779640998</v>
      </c>
      <c r="I9" s="3">
        <v>1786841.3048714199</v>
      </c>
      <c r="J9" s="3">
        <v>2358522.4290653602</v>
      </c>
      <c r="K9" s="3">
        <v>2408270.6292085801</v>
      </c>
      <c r="L9" s="3">
        <v>2456696.8611419098</v>
      </c>
      <c r="M9" s="3">
        <v>2269404.9527093</v>
      </c>
      <c r="N9" s="3">
        <v>2656417.00271363</v>
      </c>
    </row>
    <row r="10" spans="1:14" ht="14.25" customHeight="1" x14ac:dyDescent="0.25">
      <c r="A10" s="1"/>
      <c r="B10" t="s">
        <v>7</v>
      </c>
      <c r="C10" s="3">
        <v>6435699.0072783697</v>
      </c>
      <c r="D10" s="3">
        <v>5730098.7538604401</v>
      </c>
      <c r="E10" s="3">
        <v>7369901.4236666802</v>
      </c>
      <c r="F10" s="3">
        <v>6854550.9528963696</v>
      </c>
      <c r="G10" s="3">
        <v>6944178.9642437501</v>
      </c>
      <c r="H10" s="3">
        <v>7653132.5523828603</v>
      </c>
      <c r="I10" s="3">
        <v>6133122.6839063801</v>
      </c>
      <c r="J10" s="3">
        <v>8095350.9249908896</v>
      </c>
      <c r="K10" s="3">
        <v>8266105.7726374501</v>
      </c>
      <c r="L10" s="3">
        <v>8432323.1198392697</v>
      </c>
      <c r="M10" s="3">
        <v>7789465.6657449799</v>
      </c>
      <c r="N10" s="3">
        <v>9117839.0228839796</v>
      </c>
    </row>
    <row r="11" spans="1:14" ht="14.25" customHeight="1" x14ac:dyDescent="0.25">
      <c r="A11" s="1"/>
      <c r="B11" t="s">
        <v>8</v>
      </c>
      <c r="C11" s="3">
        <v>11809116.7442022</v>
      </c>
      <c r="D11" s="3">
        <v>10110119.629195699</v>
      </c>
      <c r="E11" s="3">
        <v>11881800.5465394</v>
      </c>
      <c r="F11" s="3">
        <v>10987996.267265899</v>
      </c>
      <c r="G11" s="3">
        <v>11220646.858566999</v>
      </c>
      <c r="H11" s="3">
        <v>11535282.7835871</v>
      </c>
      <c r="I11" s="3">
        <v>12417877.631585499</v>
      </c>
      <c r="J11" s="3">
        <v>11501789.8688484</v>
      </c>
      <c r="K11" s="3">
        <v>11663852.4984957</v>
      </c>
      <c r="L11" s="3">
        <v>11838430.4231326</v>
      </c>
      <c r="M11" s="3">
        <v>10776203.1740408</v>
      </c>
      <c r="N11" s="3">
        <v>12881170.624456201</v>
      </c>
    </row>
    <row r="12" spans="1:14" ht="14.25" customHeight="1" x14ac:dyDescent="0.25">
      <c r="A12" s="1"/>
      <c r="B12" t="s">
        <v>9</v>
      </c>
      <c r="C12" s="3">
        <v>14469597.504499</v>
      </c>
      <c r="D12" s="3">
        <v>12387832.631819701</v>
      </c>
      <c r="E12" s="3">
        <v>14558656.2705098</v>
      </c>
      <c r="F12" s="3">
        <v>13463486.458149699</v>
      </c>
      <c r="G12" s="3">
        <v>13748550.996694701</v>
      </c>
      <c r="H12" s="3">
        <v>14134071.378456701</v>
      </c>
      <c r="I12" s="3">
        <v>15215506.3821669</v>
      </c>
      <c r="J12" s="3">
        <v>14093032.8312038</v>
      </c>
      <c r="K12" s="3">
        <v>14291606.6172296</v>
      </c>
      <c r="L12" s="3">
        <v>14505515.2741923</v>
      </c>
      <c r="M12" s="3">
        <v>13203978.4119865</v>
      </c>
      <c r="N12" s="3">
        <v>15783174.8436363</v>
      </c>
    </row>
    <row r="13" spans="1:14" ht="14.25" customHeight="1" x14ac:dyDescent="0.25">
      <c r="A13" s="1"/>
      <c r="B13" t="s">
        <v>10</v>
      </c>
      <c r="C13" s="3">
        <v>4369820.5666015698</v>
      </c>
      <c r="D13" s="3">
        <v>3741127.2700095801</v>
      </c>
      <c r="E13" s="3">
        <v>4396716.3269866901</v>
      </c>
      <c r="F13" s="3">
        <v>4065974.8831777498</v>
      </c>
      <c r="G13" s="3">
        <v>4152064.4155891002</v>
      </c>
      <c r="H13" s="3">
        <v>4268491.6273718504</v>
      </c>
      <c r="I13" s="3">
        <v>4595085.1569559798</v>
      </c>
      <c r="J13" s="3">
        <v>4256097.9800880803</v>
      </c>
      <c r="K13" s="3">
        <v>4316067.2925650496</v>
      </c>
      <c r="L13" s="3">
        <v>4380667.7383120004</v>
      </c>
      <c r="M13" s="3">
        <v>3987603.4152105199</v>
      </c>
      <c r="N13" s="3">
        <v>4766521.1155006802</v>
      </c>
    </row>
    <row r="14" spans="1:14" ht="14.25" customHeight="1" x14ac:dyDescent="0.25">
      <c r="A14" s="1"/>
      <c r="B14" t="s">
        <v>11</v>
      </c>
      <c r="C14" s="3">
        <v>6445750.3660967704</v>
      </c>
      <c r="D14" s="3">
        <v>5518389.6232683798</v>
      </c>
      <c r="E14" s="3">
        <v>6485423.2438972602</v>
      </c>
      <c r="F14" s="3">
        <v>5997559.5547543196</v>
      </c>
      <c r="G14" s="3">
        <v>6124546.8364058305</v>
      </c>
      <c r="H14" s="3">
        <v>6296284.0351155596</v>
      </c>
      <c r="I14" s="3">
        <v>6778029.29920517</v>
      </c>
      <c r="J14" s="3">
        <v>6278002.6536951801</v>
      </c>
      <c r="K14" s="3">
        <v>6366461.0267476998</v>
      </c>
      <c r="L14" s="3">
        <v>6461750.6022524601</v>
      </c>
      <c r="M14" s="3">
        <v>5881956.8862598296</v>
      </c>
      <c r="N14" s="3">
        <v>7030907.7356786104</v>
      </c>
    </row>
    <row r="15" spans="1:14" ht="14.25" customHeight="1" x14ac:dyDescent="0.25">
      <c r="A15" s="1"/>
      <c r="B15" t="s">
        <v>12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4496536.9912699796</v>
      </c>
      <c r="J15" s="3">
        <v>4681123.6985480096</v>
      </c>
      <c r="K15" s="3">
        <v>5535766.3735173596</v>
      </c>
      <c r="L15" s="3">
        <v>5089729.0726668602</v>
      </c>
      <c r="M15" s="3">
        <v>5135519.1893008398</v>
      </c>
      <c r="N15" s="3">
        <v>5283364.4732715404</v>
      </c>
    </row>
    <row r="16" spans="1:14" ht="14.25" customHeight="1" x14ac:dyDescent="0.25">
      <c r="B16" t="s">
        <v>13</v>
      </c>
      <c r="C16" s="4">
        <f t="shared" ref="C16:N16" si="0">SUM(C4:C15)</f>
        <v>97969295.480215937</v>
      </c>
      <c r="D16" s="4">
        <f t="shared" si="0"/>
        <v>85847887.37270388</v>
      </c>
      <c r="E16" s="4">
        <f t="shared" si="0"/>
        <v>106954635.44927748</v>
      </c>
      <c r="F16" s="4">
        <f t="shared" si="0"/>
        <v>99238998.988580495</v>
      </c>
      <c r="G16" s="4">
        <f t="shared" si="0"/>
        <v>100804729.76327941</v>
      </c>
      <c r="H16" s="4">
        <f t="shared" si="0"/>
        <v>108482292.77119291</v>
      </c>
      <c r="I16" s="4">
        <f t="shared" si="0"/>
        <v>106534273.41748314</v>
      </c>
      <c r="J16" s="4">
        <f t="shared" si="0"/>
        <v>112870126.7531845</v>
      </c>
      <c r="K16" s="4">
        <f t="shared" si="0"/>
        <v>115570312.80095813</v>
      </c>
      <c r="L16" s="4">
        <f t="shared" si="0"/>
        <v>117011937.19316524</v>
      </c>
      <c r="M16" s="4">
        <f t="shared" si="0"/>
        <v>107659654.08266985</v>
      </c>
      <c r="N16" s="4">
        <f t="shared" si="0"/>
        <v>126739695.33056605</v>
      </c>
    </row>
    <row r="20" spans="1:14" ht="14.25" customHeight="1" x14ac:dyDescent="0.25">
      <c r="A20" s="1"/>
      <c r="B20" s="7" t="s">
        <v>14</v>
      </c>
      <c r="C20" s="8">
        <v>46023</v>
      </c>
      <c r="D20" s="8">
        <v>46054</v>
      </c>
      <c r="E20" s="8">
        <v>46082</v>
      </c>
      <c r="F20" s="8">
        <v>46113</v>
      </c>
      <c r="G20" s="8">
        <v>46143</v>
      </c>
      <c r="H20" s="8">
        <v>46174</v>
      </c>
      <c r="I20" s="8">
        <v>46204</v>
      </c>
      <c r="J20" s="8">
        <v>46235</v>
      </c>
      <c r="K20" s="8">
        <v>46266</v>
      </c>
      <c r="L20" s="8">
        <v>46296</v>
      </c>
      <c r="M20" s="8">
        <v>46327</v>
      </c>
      <c r="N20" s="8">
        <v>46357</v>
      </c>
    </row>
    <row r="21" spans="1:14" ht="14.25" customHeight="1" x14ac:dyDescent="0.25">
      <c r="B21" t="s">
        <v>15</v>
      </c>
      <c r="C21" s="3">
        <v>22840658.014612801</v>
      </c>
      <c r="D21" s="3">
        <v>18448708.884805001</v>
      </c>
      <c r="E21" s="3">
        <v>22800838.504893299</v>
      </c>
      <c r="F21" s="3">
        <v>21003964.170000002</v>
      </c>
      <c r="G21" s="3">
        <v>21313599.670194302</v>
      </c>
      <c r="H21" s="3">
        <v>22529366.449999999</v>
      </c>
      <c r="I21" s="3">
        <v>26633568.354370799</v>
      </c>
      <c r="J21" s="3">
        <v>28217531.688296098</v>
      </c>
      <c r="K21" s="3">
        <v>28892578.200239498</v>
      </c>
      <c r="L21" s="3">
        <v>29252984.298291299</v>
      </c>
      <c r="M21" s="3">
        <v>26914913.5206674</v>
      </c>
      <c r="N21" s="3">
        <v>31684923.832641501</v>
      </c>
    </row>
    <row r="22" spans="1:14" ht="14.25" customHeight="1" x14ac:dyDescent="0.25">
      <c r="B22" t="s">
        <v>16</v>
      </c>
      <c r="C22" s="3">
        <v>38784705.080667503</v>
      </c>
      <c r="D22" s="3">
        <v>35575910.010636397</v>
      </c>
      <c r="E22" s="3">
        <v>44581943.383676298</v>
      </c>
      <c r="F22" s="3">
        <v>41530328.811993599</v>
      </c>
      <c r="G22" s="3">
        <v>42366950.900000103</v>
      </c>
      <c r="H22" s="3">
        <v>45557683.017985597</v>
      </c>
      <c r="I22" s="3">
        <v>43125037.341001503</v>
      </c>
      <c r="J22" s="3">
        <v>45689788.598265901</v>
      </c>
      <c r="K22" s="3">
        <v>46782822.984313197</v>
      </c>
      <c r="L22" s="3">
        <v>47366392.043840297</v>
      </c>
      <c r="M22" s="3">
        <v>43580591.048293702</v>
      </c>
      <c r="N22" s="3">
        <v>51304185.2015002</v>
      </c>
    </row>
    <row r="23" spans="1:14" ht="14.25" customHeight="1" x14ac:dyDescent="0.25">
      <c r="B23" t="s">
        <v>17</v>
      </c>
      <c r="C23" s="3">
        <v>19957206.3220511</v>
      </c>
      <c r="D23" s="3">
        <v>17539225.914267901</v>
      </c>
      <c r="E23" s="3">
        <v>21826465.693484001</v>
      </c>
      <c r="F23" s="3">
        <v>20267935.977565698</v>
      </c>
      <c r="G23" s="3">
        <v>20408184.316311799</v>
      </c>
      <c r="H23" s="3">
        <v>22545765.019735701</v>
      </c>
      <c r="I23" s="3">
        <v>20544233.9635114</v>
      </c>
      <c r="J23" s="3">
        <v>21766049.714552</v>
      </c>
      <c r="K23" s="3">
        <v>22286757.765876301</v>
      </c>
      <c r="L23" s="3">
        <v>22564762.842092</v>
      </c>
      <c r="M23" s="3">
        <v>20761254.110567801</v>
      </c>
      <c r="N23" s="3">
        <v>24440678.758203302</v>
      </c>
    </row>
    <row r="24" spans="1:14" ht="14.25" customHeight="1" x14ac:dyDescent="0.25">
      <c r="B24" t="s">
        <v>18</v>
      </c>
      <c r="C24" s="3">
        <v>14381245.5896942</v>
      </c>
      <c r="D24" s="3">
        <v>12500898.2527999</v>
      </c>
      <c r="E24" s="3">
        <v>15488790.1919186</v>
      </c>
      <c r="F24" s="3">
        <v>14311331.9276266</v>
      </c>
      <c r="G24" s="3">
        <v>14518114.211841799</v>
      </c>
      <c r="H24" s="3">
        <v>15462721.674934</v>
      </c>
      <c r="I24" s="3">
        <v>13849719.659362599</v>
      </c>
      <c r="J24" s="3">
        <v>14673396.300573001</v>
      </c>
      <c r="K24" s="3">
        <v>15024427.1809661</v>
      </c>
      <c r="L24" s="3">
        <v>15211841.925964899</v>
      </c>
      <c r="M24" s="3">
        <v>13996021.9358311</v>
      </c>
      <c r="N24" s="3">
        <v>16476474.600457599</v>
      </c>
    </row>
    <row r="25" spans="1:14" ht="14.25" customHeight="1" x14ac:dyDescent="0.25">
      <c r="B25" t="s">
        <v>19</v>
      </c>
      <c r="C25" s="3">
        <v>2005480.6343427701</v>
      </c>
      <c r="D25" s="3">
        <v>1783144.36306147</v>
      </c>
      <c r="E25" s="3">
        <v>2256597.9652107302</v>
      </c>
      <c r="F25" s="3">
        <v>2125438.0440270999</v>
      </c>
      <c r="G25" s="3">
        <v>2197880.9494406502</v>
      </c>
      <c r="H25" s="3">
        <v>2386756.30269867</v>
      </c>
      <c r="I25" s="3">
        <v>2381714.0992368199</v>
      </c>
      <c r="J25" s="3">
        <v>2523360.4514975701</v>
      </c>
      <c r="K25" s="3">
        <v>2583726.6695628399</v>
      </c>
      <c r="L25" s="3">
        <v>2615956.0829767599</v>
      </c>
      <c r="M25" s="3">
        <v>2406873.4673096598</v>
      </c>
      <c r="N25" s="3">
        <v>2833432.9377633901</v>
      </c>
    </row>
    <row r="26" spans="1:14" ht="14.25" customHeight="1" x14ac:dyDescent="0.25">
      <c r="B26" t="s">
        <v>13</v>
      </c>
      <c r="C26" s="3">
        <f t="shared" ref="C26:N26" si="1">SUM(C21:C25)</f>
        <v>97969295.641368374</v>
      </c>
      <c r="D26" s="3">
        <f t="shared" si="1"/>
        <v>85847887.425570667</v>
      </c>
      <c r="E26" s="3">
        <f t="shared" si="1"/>
        <v>106954635.73918293</v>
      </c>
      <c r="F26" s="3">
        <f t="shared" si="1"/>
        <v>99238998.931212991</v>
      </c>
      <c r="G26" s="3">
        <f t="shared" si="1"/>
        <v>100804730.04778863</v>
      </c>
      <c r="H26" s="3">
        <f t="shared" si="1"/>
        <v>108482292.46535397</v>
      </c>
      <c r="I26" s="3">
        <f t="shared" si="1"/>
        <v>106534273.41748311</v>
      </c>
      <c r="J26" s="3">
        <f t="shared" si="1"/>
        <v>112870126.75318457</v>
      </c>
      <c r="K26" s="3">
        <f t="shared" si="1"/>
        <v>115570312.80095793</v>
      </c>
      <c r="L26" s="3">
        <f t="shared" si="1"/>
        <v>117011937.19316524</v>
      </c>
      <c r="M26" s="3">
        <f t="shared" si="1"/>
        <v>107659654.08266965</v>
      </c>
      <c r="N26" s="3">
        <f t="shared" si="1"/>
        <v>126739695.33056599</v>
      </c>
    </row>
    <row r="27" spans="1:14" ht="14.25" customHeight="1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4.25" customHeight="1" x14ac:dyDescent="0.2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4.25" customHeight="1" x14ac:dyDescent="0.25">
      <c r="C29" s="4"/>
      <c r="D29" s="4"/>
      <c r="E29" s="4"/>
      <c r="F29" s="4"/>
      <c r="G29" s="4"/>
      <c r="H29" s="4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0" customWidth="1"/>
    <col min="2" max="2" width="16" customWidth="1"/>
    <col min="3" max="3" width="18" customWidth="1"/>
    <col min="4" max="4" width="16" customWidth="1"/>
  </cols>
  <sheetData>
    <row r="1" spans="1:13" ht="15" customHeight="1" x14ac:dyDescent="0.25">
      <c r="A1" s="7" t="s">
        <v>20</v>
      </c>
      <c r="B1" s="7" t="s">
        <v>14</v>
      </c>
      <c r="C1" s="7" t="s">
        <v>21</v>
      </c>
      <c r="D1" s="7" t="s">
        <v>22</v>
      </c>
      <c r="F1" s="9"/>
      <c r="G1" s="10"/>
      <c r="H1" s="10"/>
      <c r="I1" s="10"/>
      <c r="J1" s="10"/>
      <c r="K1" s="10"/>
      <c r="L1" s="10"/>
      <c r="M1" s="10"/>
    </row>
    <row r="2" spans="1:13" x14ac:dyDescent="0.25">
      <c r="A2" s="5" t="s">
        <v>23</v>
      </c>
      <c r="B2" s="5" t="str">
        <f>Planilha1!B21</f>
        <v>Reallizi</v>
      </c>
      <c r="C2" s="5" t="str">
        <f>Planilha1!B4</f>
        <v>ENEL CE</v>
      </c>
      <c r="D2" s="6">
        <v>1333330.049075339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5" t="s">
        <v>23</v>
      </c>
      <c r="B3" s="5" t="str">
        <f>Planilha1!B21</f>
        <v>Reallizi</v>
      </c>
      <c r="C3" s="5" t="str">
        <f>Planilha1!B5</f>
        <v>ENEL RJ</v>
      </c>
      <c r="D3" s="6">
        <v>910318.77136896038</v>
      </c>
      <c r="F3" s="10"/>
      <c r="G3" s="10"/>
      <c r="H3" s="10"/>
      <c r="I3" s="10"/>
      <c r="J3" s="10"/>
      <c r="K3" s="10"/>
      <c r="L3" s="10"/>
      <c r="M3" s="10"/>
    </row>
    <row r="4" spans="1:13" x14ac:dyDescent="0.25">
      <c r="A4" s="5" t="s">
        <v>23</v>
      </c>
      <c r="B4" s="5" t="str">
        <f>Planilha1!B21</f>
        <v>Reallizi</v>
      </c>
      <c r="C4" s="5" t="str">
        <f>Planilha1!B6</f>
        <v>ENEL SP</v>
      </c>
      <c r="D4" s="6">
        <v>3449147.2703101542</v>
      </c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s="5" t="s">
        <v>23</v>
      </c>
      <c r="B5" s="5" t="str">
        <f>Planilha1!B21</f>
        <v>Reallizi</v>
      </c>
      <c r="C5" s="5" t="str">
        <f>Planilha1!B7</f>
        <v>CPFL PAULISTA</v>
      </c>
      <c r="D5" s="6">
        <v>4099863.5037007318</v>
      </c>
    </row>
    <row r="6" spans="1:13" x14ac:dyDescent="0.25">
      <c r="A6" s="5" t="s">
        <v>23</v>
      </c>
      <c r="B6" s="5" t="str">
        <f>Planilha1!B21</f>
        <v>Reallizi</v>
      </c>
      <c r="C6" s="5" t="str">
        <f>Planilha1!B8</f>
        <v>RGE</v>
      </c>
      <c r="D6" s="6">
        <v>2462236.92278746</v>
      </c>
    </row>
    <row r="7" spans="1:13" x14ac:dyDescent="0.25">
      <c r="A7" s="5" t="s">
        <v>23</v>
      </c>
      <c r="B7" s="5" t="str">
        <f>Planilha1!B21</f>
        <v>Reallizi</v>
      </c>
      <c r="C7" s="5" t="str">
        <f>Planilha1!B9</f>
        <v>CPFL SANTA CRUZ</v>
      </c>
      <c r="D7" s="6">
        <v>437138.12142808968</v>
      </c>
    </row>
    <row r="8" spans="1:13" x14ac:dyDescent="0.25">
      <c r="A8" s="5" t="s">
        <v>23</v>
      </c>
      <c r="B8" s="5" t="str">
        <f>Planilha1!B21</f>
        <v>Reallizi</v>
      </c>
      <c r="C8" s="5" t="str">
        <f>Planilha1!B10</f>
        <v>CPFL PIRATININGA</v>
      </c>
      <c r="D8" s="6">
        <v>1500425.203526271</v>
      </c>
    </row>
    <row r="9" spans="1:13" x14ac:dyDescent="0.25">
      <c r="A9" s="5" t="s">
        <v>23</v>
      </c>
      <c r="B9" s="5" t="str">
        <f>Planilha1!B21</f>
        <v>Reallizi</v>
      </c>
      <c r="C9" s="5" t="str">
        <f>Planilha1!B11</f>
        <v>CELPE</v>
      </c>
      <c r="D9" s="6">
        <v>2753189.1056971969</v>
      </c>
    </row>
    <row r="10" spans="1:13" x14ac:dyDescent="0.25">
      <c r="A10" s="5" t="s">
        <v>23</v>
      </c>
      <c r="B10" s="5" t="str">
        <f>Planilha1!B21</f>
        <v>Reallizi</v>
      </c>
      <c r="C10" s="5" t="str">
        <f>Planilha1!B12</f>
        <v>COELBA</v>
      </c>
      <c r="D10" s="6">
        <v>3373456.209819301</v>
      </c>
    </row>
    <row r="11" spans="1:13" x14ac:dyDescent="0.25">
      <c r="A11" s="5" t="s">
        <v>23</v>
      </c>
      <c r="B11" s="5" t="str">
        <f>Planilha1!B21</f>
        <v>Reallizi</v>
      </c>
      <c r="C11" s="5" t="str">
        <f>Planilha1!B13</f>
        <v>COSERN</v>
      </c>
      <c r="D11" s="6">
        <v>1018784.26968094</v>
      </c>
    </row>
    <row r="12" spans="1:13" x14ac:dyDescent="0.25">
      <c r="A12" s="5" t="s">
        <v>23</v>
      </c>
      <c r="B12" s="5" t="str">
        <f>Planilha1!B21</f>
        <v>Reallizi</v>
      </c>
      <c r="C12" s="5" t="str">
        <f>Planilha1!B14</f>
        <v>ELEKTRO</v>
      </c>
      <c r="D12" s="6">
        <v>1502768.587218354</v>
      </c>
    </row>
    <row r="13" spans="1:13" x14ac:dyDescent="0.25">
      <c r="A13" s="5" t="s">
        <v>23</v>
      </c>
      <c r="B13" s="5" t="str">
        <f>Planilha1!B21</f>
        <v>Reallizi</v>
      </c>
      <c r="C13" s="5" t="str">
        <f>Planilha1!B15</f>
        <v>COPEL</v>
      </c>
      <c r="D13" s="6">
        <v>0</v>
      </c>
    </row>
    <row r="14" spans="1:13" x14ac:dyDescent="0.25">
      <c r="A14" s="5" t="s">
        <v>23</v>
      </c>
      <c r="B14" s="5" t="str">
        <f>Planilha1!B22</f>
        <v>Corban</v>
      </c>
      <c r="C14" s="5" t="str">
        <f>Planilha1!B4</f>
        <v>ENEL CE</v>
      </c>
      <c r="D14" s="6">
        <v>2264068.4298803732</v>
      </c>
    </row>
    <row r="15" spans="1:13" x14ac:dyDescent="0.25">
      <c r="A15" s="5" t="s">
        <v>23</v>
      </c>
      <c r="B15" s="5" t="str">
        <f>Planilha1!B22</f>
        <v>Corban</v>
      </c>
      <c r="C15" s="5" t="str">
        <f>Planilha1!B5</f>
        <v>ENEL RJ</v>
      </c>
      <c r="D15" s="6">
        <v>1545771.8010730101</v>
      </c>
    </row>
    <row r="16" spans="1:13" x14ac:dyDescent="0.25">
      <c r="A16" s="5" t="s">
        <v>23</v>
      </c>
      <c r="B16" s="5" t="str">
        <f>Planilha1!B22</f>
        <v>Corban</v>
      </c>
      <c r="C16" s="5" t="str">
        <f>Planilha1!B6</f>
        <v>ENEL SP</v>
      </c>
      <c r="D16" s="6">
        <v>5856843.5100768013</v>
      </c>
    </row>
    <row r="17" spans="1:4" x14ac:dyDescent="0.25">
      <c r="A17" s="5" t="s">
        <v>23</v>
      </c>
      <c r="B17" s="5" t="str">
        <f>Planilha1!B22</f>
        <v>Corban</v>
      </c>
      <c r="C17" s="5" t="str">
        <f>Planilha1!B7</f>
        <v>CPFL PAULISTA</v>
      </c>
      <c r="D17" s="6">
        <v>6961795.7924107853</v>
      </c>
    </row>
    <row r="18" spans="1:4" x14ac:dyDescent="0.25">
      <c r="A18" s="5" t="s">
        <v>23</v>
      </c>
      <c r="B18" s="5" t="str">
        <f>Planilha1!B22</f>
        <v>Corban</v>
      </c>
      <c r="C18" s="5" t="str">
        <f>Planilha1!B8</f>
        <v>RGE</v>
      </c>
      <c r="D18" s="6">
        <v>4181014.9614755218</v>
      </c>
    </row>
    <row r="19" spans="1:4" x14ac:dyDescent="0.25">
      <c r="A19" s="5" t="s">
        <v>23</v>
      </c>
      <c r="B19" s="5" t="str">
        <f>Planilha1!B22</f>
        <v>Corban</v>
      </c>
      <c r="C19" s="5" t="str">
        <f>Planilha1!B9</f>
        <v>CPFL SANTA CRUZ</v>
      </c>
      <c r="D19" s="6">
        <v>742284.79355798848</v>
      </c>
    </row>
    <row r="20" spans="1:4" x14ac:dyDescent="0.25">
      <c r="A20" s="5" t="s">
        <v>23</v>
      </c>
      <c r="B20" s="5" t="str">
        <f>Planilha1!B22</f>
        <v>Corban</v>
      </c>
      <c r="C20" s="5" t="str">
        <f>Planilha1!B10</f>
        <v>CPFL PIRATININGA</v>
      </c>
      <c r="D20" s="6">
        <v>2547805.2767628832</v>
      </c>
    </row>
    <row r="21" spans="1:4" x14ac:dyDescent="0.25">
      <c r="A21" s="5" t="s">
        <v>23</v>
      </c>
      <c r="B21" s="5" t="str">
        <f>Planilha1!B22</f>
        <v>Corban</v>
      </c>
      <c r="C21" s="5" t="str">
        <f>Planilha1!B11</f>
        <v>CELPE</v>
      </c>
      <c r="D21" s="6">
        <v>4675067.9173715869</v>
      </c>
    </row>
    <row r="22" spans="1:4" x14ac:dyDescent="0.25">
      <c r="A22" s="5" t="s">
        <v>23</v>
      </c>
      <c r="B22" s="5" t="str">
        <f>Planilha1!B22</f>
        <v>Corban</v>
      </c>
      <c r="C22" s="5" t="str">
        <f>Planilha1!B12</f>
        <v>COELBA</v>
      </c>
      <c r="D22" s="6">
        <v>5728315.8881272711</v>
      </c>
    </row>
    <row r="23" spans="1:4" x14ac:dyDescent="0.25">
      <c r="A23" s="5" t="s">
        <v>23</v>
      </c>
      <c r="B23" s="5" t="str">
        <f>Planilha1!B22</f>
        <v>Corban</v>
      </c>
      <c r="C23" s="5" t="str">
        <f>Planilha1!B13</f>
        <v>COSERN</v>
      </c>
      <c r="D23" s="6">
        <v>1729952.23758961</v>
      </c>
    </row>
    <row r="24" spans="1:4" x14ac:dyDescent="0.25">
      <c r="A24" s="5" t="s">
        <v>23</v>
      </c>
      <c r="B24" s="5" t="str">
        <f>Planilha1!B22</f>
        <v>Corban</v>
      </c>
      <c r="C24" s="5" t="str">
        <f>Planilha1!B14</f>
        <v>ELEKTRO</v>
      </c>
      <c r="D24" s="6">
        <v>2551784.4723416688</v>
      </c>
    </row>
    <row r="25" spans="1:4" x14ac:dyDescent="0.25">
      <c r="A25" s="5" t="s">
        <v>23</v>
      </c>
      <c r="B25" s="5" t="str">
        <f>Planilha1!B22</f>
        <v>Corban</v>
      </c>
      <c r="C25" s="5" t="str">
        <f>Planilha1!B15</f>
        <v>COPEL</v>
      </c>
      <c r="D25" s="6">
        <v>0</v>
      </c>
    </row>
    <row r="26" spans="1:4" x14ac:dyDescent="0.25">
      <c r="A26" s="5" t="s">
        <v>23</v>
      </c>
      <c r="B26" s="5" t="str">
        <f>Planilha1!B23</f>
        <v>Lojas</v>
      </c>
      <c r="C26" s="5" t="str">
        <f>Planilha1!B4</f>
        <v>ENEL CE</v>
      </c>
      <c r="D26" s="6">
        <v>1165007.7185938789</v>
      </c>
    </row>
    <row r="27" spans="1:4" x14ac:dyDescent="0.25">
      <c r="A27" s="5" t="s">
        <v>23</v>
      </c>
      <c r="B27" s="5" t="str">
        <f>Planilha1!B23</f>
        <v>Lojas</v>
      </c>
      <c r="C27" s="5" t="str">
        <f>Planilha1!B5</f>
        <v>ENEL RJ</v>
      </c>
      <c r="D27" s="6">
        <v>795398.25548911118</v>
      </c>
    </row>
    <row r="28" spans="1:4" x14ac:dyDescent="0.25">
      <c r="A28" s="5" t="s">
        <v>23</v>
      </c>
      <c r="B28" s="5" t="str">
        <f>Planilha1!B23</f>
        <v>Lojas</v>
      </c>
      <c r="C28" s="5" t="str">
        <f>Planilha1!B6</f>
        <v>ENEL SP</v>
      </c>
      <c r="D28" s="6">
        <v>3013719.817733807</v>
      </c>
    </row>
    <row r="29" spans="1:4" x14ac:dyDescent="0.25">
      <c r="A29" s="5" t="s">
        <v>23</v>
      </c>
      <c r="B29" s="5" t="str">
        <f>Planilha1!B23</f>
        <v>Lojas</v>
      </c>
      <c r="C29" s="5" t="str">
        <f>Planilha1!B7</f>
        <v>CPFL PAULISTA</v>
      </c>
      <c r="D29" s="6">
        <v>3582288.2941137501</v>
      </c>
    </row>
    <row r="30" spans="1:4" x14ac:dyDescent="0.25">
      <c r="A30" s="5" t="s">
        <v>23</v>
      </c>
      <c r="B30" s="5" t="str">
        <f>Planilha1!B23</f>
        <v>Lojas</v>
      </c>
      <c r="C30" s="5" t="str">
        <f>Planilha1!B8</f>
        <v>RGE</v>
      </c>
      <c r="D30" s="6">
        <v>2151399.064352856</v>
      </c>
    </row>
    <row r="31" spans="1:4" x14ac:dyDescent="0.25">
      <c r="A31" s="5" t="s">
        <v>23</v>
      </c>
      <c r="B31" s="5" t="str">
        <f>Planilha1!B23</f>
        <v>Lojas</v>
      </c>
      <c r="C31" s="5" t="str">
        <f>Planilha1!B9</f>
        <v>CPFL SANTA CRUZ</v>
      </c>
      <c r="D31" s="6">
        <v>381952.90499042592</v>
      </c>
    </row>
    <row r="32" spans="1:4" x14ac:dyDescent="0.25">
      <c r="A32" s="5" t="s">
        <v>23</v>
      </c>
      <c r="B32" s="5" t="str">
        <f>Planilha1!B23</f>
        <v>Lojas</v>
      </c>
      <c r="C32" s="5" t="str">
        <f>Planilha1!B10</f>
        <v>CPFL PIRATININGA</v>
      </c>
      <c r="D32" s="6">
        <v>1311008.4367281271</v>
      </c>
    </row>
    <row r="33" spans="1:4" x14ac:dyDescent="0.25">
      <c r="A33" s="5" t="s">
        <v>23</v>
      </c>
      <c r="B33" s="5" t="str">
        <f>Planilha1!B23</f>
        <v>Lojas</v>
      </c>
      <c r="C33" s="5" t="str">
        <f>Planilha1!B11</f>
        <v>CELPE</v>
      </c>
      <c r="D33" s="6">
        <v>2405620.8446739791</v>
      </c>
    </row>
    <row r="34" spans="1:4" x14ac:dyDescent="0.25">
      <c r="A34" s="5" t="s">
        <v>23</v>
      </c>
      <c r="B34" s="5" t="str">
        <f>Planilha1!B23</f>
        <v>Lojas</v>
      </c>
      <c r="C34" s="5" t="str">
        <f>Planilha1!B12</f>
        <v>COELBA</v>
      </c>
      <c r="D34" s="6">
        <v>2947584.1525535672</v>
      </c>
    </row>
    <row r="35" spans="1:4" x14ac:dyDescent="0.25">
      <c r="A35" s="5" t="s">
        <v>23</v>
      </c>
      <c r="B35" s="5" t="str">
        <f>Planilha1!B23</f>
        <v>Lojas</v>
      </c>
      <c r="C35" s="5" t="str">
        <f>Planilha1!B13</f>
        <v>COSERN</v>
      </c>
      <c r="D35" s="6">
        <v>890170.8459832801</v>
      </c>
    </row>
    <row r="36" spans="1:4" x14ac:dyDescent="0.25">
      <c r="A36" s="5" t="s">
        <v>23</v>
      </c>
      <c r="B36" s="5" t="str">
        <f>Planilha1!B23</f>
        <v>Lojas</v>
      </c>
      <c r="C36" s="5" t="str">
        <f>Planilha1!B14</f>
        <v>ELEKTRO</v>
      </c>
      <c r="D36" s="6">
        <v>1313055.986838317</v>
      </c>
    </row>
    <row r="37" spans="1:4" x14ac:dyDescent="0.25">
      <c r="A37" s="5" t="s">
        <v>23</v>
      </c>
      <c r="B37" s="5" t="str">
        <f>Planilha1!B23</f>
        <v>Lojas</v>
      </c>
      <c r="C37" s="5" t="str">
        <f>Planilha1!B15</f>
        <v>COPEL</v>
      </c>
      <c r="D37" s="6">
        <v>0</v>
      </c>
    </row>
    <row r="38" spans="1:4" x14ac:dyDescent="0.25">
      <c r="A38" s="5" t="s">
        <v>23</v>
      </c>
      <c r="B38" s="5" t="str">
        <f>Planilha1!B24</f>
        <v>Canal Interno</v>
      </c>
      <c r="C38" s="5" t="str">
        <f>Planilha1!B4</f>
        <v>ENEL CE</v>
      </c>
      <c r="D38" s="6">
        <v>839509.39047394751</v>
      </c>
    </row>
    <row r="39" spans="1:4" x14ac:dyDescent="0.25">
      <c r="A39" s="5" t="s">
        <v>23</v>
      </c>
      <c r="B39" s="5" t="str">
        <f>Planilha1!B24</f>
        <v>Canal Interno</v>
      </c>
      <c r="C39" s="5" t="str">
        <f>Planilha1!B5</f>
        <v>ENEL RJ</v>
      </c>
      <c r="D39" s="6">
        <v>573167.27948862605</v>
      </c>
    </row>
    <row r="40" spans="1:4" x14ac:dyDescent="0.25">
      <c r="A40" s="5" t="s">
        <v>23</v>
      </c>
      <c r="B40" s="5" t="str">
        <f>Planilha1!B24</f>
        <v>Canal Interno</v>
      </c>
      <c r="C40" s="5" t="str">
        <f>Planilha1!B6</f>
        <v>ENEL SP</v>
      </c>
      <c r="D40" s="6">
        <v>2171698.9912295472</v>
      </c>
    </row>
    <row r="41" spans="1:4" x14ac:dyDescent="0.25">
      <c r="A41" s="5" t="s">
        <v>23</v>
      </c>
      <c r="B41" s="5" t="str">
        <f>Planilha1!B24</f>
        <v>Canal Interno</v>
      </c>
      <c r="C41" s="5" t="str">
        <f>Planilha1!B7</f>
        <v>CPFL PAULISTA</v>
      </c>
      <c r="D41" s="6">
        <v>2581411.7917803731</v>
      </c>
    </row>
    <row r="42" spans="1:4" x14ac:dyDescent="0.25">
      <c r="A42" s="5" t="s">
        <v>23</v>
      </c>
      <c r="B42" s="5" t="str">
        <f>Planilha1!B24</f>
        <v>Canal Interno</v>
      </c>
      <c r="C42" s="5" t="str">
        <f>Planilha1!B8</f>
        <v>RGE</v>
      </c>
      <c r="D42" s="6">
        <v>1550307.0823951331</v>
      </c>
    </row>
    <row r="43" spans="1:4" x14ac:dyDescent="0.25">
      <c r="A43" s="5" t="s">
        <v>23</v>
      </c>
      <c r="B43" s="5" t="str">
        <f>Planilha1!B24</f>
        <v>Canal Interno</v>
      </c>
      <c r="C43" s="5" t="str">
        <f>Planilha1!B9</f>
        <v>CPFL SANTA CRUZ</v>
      </c>
      <c r="D43" s="6">
        <v>275236.84636637621</v>
      </c>
    </row>
    <row r="44" spans="1:4" x14ac:dyDescent="0.25">
      <c r="A44" s="5" t="s">
        <v>23</v>
      </c>
      <c r="B44" s="5" t="str">
        <f>Planilha1!B24</f>
        <v>Canal Interno</v>
      </c>
      <c r="C44" s="5" t="str">
        <f>Planilha1!B10</f>
        <v>CPFL PIRATININGA</v>
      </c>
      <c r="D44" s="6">
        <v>944718.11307157716</v>
      </c>
    </row>
    <row r="45" spans="1:4" x14ac:dyDescent="0.25">
      <c r="A45" s="5" t="s">
        <v>23</v>
      </c>
      <c r="B45" s="5" t="str">
        <f>Planilha1!B24</f>
        <v>Canal Interno</v>
      </c>
      <c r="C45" s="5" t="str">
        <f>Planilha1!B11</f>
        <v>CELPE</v>
      </c>
      <c r="D45" s="6">
        <v>1733500.3509343141</v>
      </c>
    </row>
    <row r="46" spans="1:4" x14ac:dyDescent="0.25">
      <c r="A46" s="5" t="s">
        <v>23</v>
      </c>
      <c r="B46" s="5" t="str">
        <f>Planilha1!B24</f>
        <v>Canal Interno</v>
      </c>
      <c r="C46" s="5" t="str">
        <f>Planilha1!B12</f>
        <v>COELBA</v>
      </c>
      <c r="D46" s="6">
        <v>2124041.3567968202</v>
      </c>
    </row>
    <row r="47" spans="1:4" x14ac:dyDescent="0.25">
      <c r="A47" s="5" t="s">
        <v>23</v>
      </c>
      <c r="B47" s="5" t="str">
        <f>Planilha1!B24</f>
        <v>Canal Interno</v>
      </c>
      <c r="C47" s="5" t="str">
        <f>Planilha1!B13</f>
        <v>COSERN</v>
      </c>
      <c r="D47" s="6">
        <v>641460.80099029129</v>
      </c>
    </row>
    <row r="48" spans="1:4" x14ac:dyDescent="0.25">
      <c r="A48" s="5" t="s">
        <v>23</v>
      </c>
      <c r="B48" s="5" t="str">
        <f>Planilha1!B24</f>
        <v>Canal Interno</v>
      </c>
      <c r="C48" s="5" t="str">
        <f>Planilha1!B14</f>
        <v>ELEKTRO</v>
      </c>
      <c r="D48" s="6">
        <v>946193.5861671936</v>
      </c>
    </row>
    <row r="49" spans="1:4" x14ac:dyDescent="0.25">
      <c r="A49" s="5" t="s">
        <v>23</v>
      </c>
      <c r="B49" s="5" t="str">
        <f>Planilha1!B24</f>
        <v>Canal Interno</v>
      </c>
      <c r="C49" s="5" t="str">
        <f>Planilha1!B15</f>
        <v>COPEL</v>
      </c>
      <c r="D49" s="6">
        <v>0</v>
      </c>
    </row>
    <row r="50" spans="1:4" x14ac:dyDescent="0.25">
      <c r="A50" s="5" t="s">
        <v>23</v>
      </c>
      <c r="B50" s="5" t="str">
        <f>Planilha1!B25</f>
        <v>Canal Digital</v>
      </c>
      <c r="C50" s="5" t="str">
        <f>Planilha1!B4</f>
        <v>ENEL CE</v>
      </c>
      <c r="D50" s="6">
        <v>117070.51482042071</v>
      </c>
    </row>
    <row r="51" spans="1:4" x14ac:dyDescent="0.25">
      <c r="A51" s="5" t="s">
        <v>23</v>
      </c>
      <c r="B51" s="5" t="str">
        <f>Planilha1!B25</f>
        <v>Canal Digital</v>
      </c>
      <c r="C51" s="5" t="str">
        <f>Planilha1!B5</f>
        <v>ENEL RJ</v>
      </c>
      <c r="D51" s="6">
        <v>79928.812291273294</v>
      </c>
    </row>
    <row r="52" spans="1:4" x14ac:dyDescent="0.25">
      <c r="A52" s="5" t="s">
        <v>23</v>
      </c>
      <c r="B52" s="5" t="str">
        <f>Planilha1!B25</f>
        <v>Canal Digital</v>
      </c>
      <c r="C52" s="5" t="str">
        <f>Planilha1!B6</f>
        <v>ENEL SP</v>
      </c>
      <c r="D52" s="6">
        <v>302845.83093787468</v>
      </c>
    </row>
    <row r="53" spans="1:4" x14ac:dyDescent="0.25">
      <c r="A53" s="5" t="s">
        <v>23</v>
      </c>
      <c r="B53" s="5" t="str">
        <f>Planilha1!B25</f>
        <v>Canal Digital</v>
      </c>
      <c r="C53" s="5" t="str">
        <f>Planilha1!B7</f>
        <v>CPFL PAULISTA</v>
      </c>
      <c r="D53" s="6">
        <v>359980.73500597879</v>
      </c>
    </row>
    <row r="54" spans="1:4" x14ac:dyDescent="0.25">
      <c r="A54" s="5" t="s">
        <v>23</v>
      </c>
      <c r="B54" s="5" t="str">
        <f>Planilha1!B25</f>
        <v>Canal Digital</v>
      </c>
      <c r="C54" s="5" t="str">
        <f>Planilha1!B8</f>
        <v>RGE</v>
      </c>
      <c r="D54" s="6">
        <v>216192.04064326061</v>
      </c>
    </row>
    <row r="55" spans="1:4" x14ac:dyDescent="0.25">
      <c r="A55" s="5" t="s">
        <v>23</v>
      </c>
      <c r="B55" s="5" t="str">
        <f>Planilha1!B25</f>
        <v>Canal Digital</v>
      </c>
      <c r="C55" s="5" t="str">
        <f>Planilha1!B9</f>
        <v>CPFL SANTA CRUZ</v>
      </c>
      <c r="D55" s="6">
        <v>38382.083234911282</v>
      </c>
    </row>
    <row r="56" spans="1:4" x14ac:dyDescent="0.25">
      <c r="A56" s="5" t="s">
        <v>23</v>
      </c>
      <c r="B56" s="5" t="str">
        <f>Planilha1!B25</f>
        <v>Canal Digital</v>
      </c>
      <c r="C56" s="5" t="str">
        <f>Planilha1!B10</f>
        <v>CPFL PIRATININGA</v>
      </c>
      <c r="D56" s="6">
        <v>131741.9877757736</v>
      </c>
    </row>
    <row r="57" spans="1:4" x14ac:dyDescent="0.25">
      <c r="A57" s="5" t="s">
        <v>23</v>
      </c>
      <c r="B57" s="5" t="str">
        <f>Planilha1!B25</f>
        <v>Canal Digital</v>
      </c>
      <c r="C57" s="5" t="str">
        <f>Planilha1!B11</f>
        <v>CELPE</v>
      </c>
      <c r="D57" s="6">
        <v>241738.54495026989</v>
      </c>
    </row>
    <row r="58" spans="1:4" x14ac:dyDescent="0.25">
      <c r="A58" s="5" t="s">
        <v>23</v>
      </c>
      <c r="B58" s="5" t="str">
        <f>Planilha1!B25</f>
        <v>Canal Digital</v>
      </c>
      <c r="C58" s="5" t="str">
        <f>Planilha1!B12</f>
        <v>COELBA</v>
      </c>
      <c r="D58" s="6">
        <v>296199.92100348679</v>
      </c>
    </row>
    <row r="59" spans="1:4" x14ac:dyDescent="0.25">
      <c r="A59" s="5" t="s">
        <v>23</v>
      </c>
      <c r="B59" s="5" t="str">
        <f>Planilha1!B25</f>
        <v>Canal Digital</v>
      </c>
      <c r="C59" s="5" t="str">
        <f>Planilha1!B13</f>
        <v>COSERN</v>
      </c>
      <c r="D59" s="6">
        <v>89452.419545488432</v>
      </c>
    </row>
    <row r="60" spans="1:4" x14ac:dyDescent="0.25">
      <c r="A60" s="5" t="s">
        <v>23</v>
      </c>
      <c r="B60" s="5" t="str">
        <f>Planilha1!B25</f>
        <v>Canal Digital</v>
      </c>
      <c r="C60" s="5" t="str">
        <f>Planilha1!B14</f>
        <v>ELEKTRO</v>
      </c>
      <c r="D60" s="6">
        <v>131947.74413403179</v>
      </c>
    </row>
    <row r="61" spans="1:4" x14ac:dyDescent="0.25">
      <c r="A61" s="5" t="s">
        <v>23</v>
      </c>
      <c r="B61" s="5" t="str">
        <f>Planilha1!B25</f>
        <v>Canal Digital</v>
      </c>
      <c r="C61" s="5" t="str">
        <f>Planilha1!B15</f>
        <v>COPEL</v>
      </c>
      <c r="D61" s="6">
        <v>0</v>
      </c>
    </row>
    <row r="62" spans="1:4" x14ac:dyDescent="0.25">
      <c r="A62" s="5" t="s">
        <v>24</v>
      </c>
      <c r="B62" s="5" t="str">
        <f>Planilha1!B21</f>
        <v>Reallizi</v>
      </c>
      <c r="C62" s="5" t="str">
        <f>Planilha1!B4</f>
        <v>ENEL CE</v>
      </c>
      <c r="D62" s="6">
        <v>1088709.0710313809</v>
      </c>
    </row>
    <row r="63" spans="1:4" x14ac:dyDescent="0.25">
      <c r="A63" s="5" t="s">
        <v>24</v>
      </c>
      <c r="B63" s="5" t="str">
        <f>Planilha1!B21</f>
        <v>Reallizi</v>
      </c>
      <c r="C63" s="5" t="str">
        <f>Planilha1!B5</f>
        <v>ENEL RJ</v>
      </c>
      <c r="D63" s="6">
        <v>743306.05884629441</v>
      </c>
    </row>
    <row r="64" spans="1:4" x14ac:dyDescent="0.25">
      <c r="A64" s="5" t="s">
        <v>24</v>
      </c>
      <c r="B64" s="5" t="str">
        <f>Planilha1!B21</f>
        <v>Reallizi</v>
      </c>
      <c r="C64" s="5" t="str">
        <f>Planilha1!B6</f>
        <v>ENEL SP</v>
      </c>
      <c r="D64" s="6">
        <v>2816345.3775859568</v>
      </c>
    </row>
    <row r="65" spans="1:4" x14ac:dyDescent="0.25">
      <c r="A65" s="5" t="s">
        <v>24</v>
      </c>
      <c r="B65" s="5" t="str">
        <f>Planilha1!B21</f>
        <v>Reallizi</v>
      </c>
      <c r="C65" s="5" t="str">
        <f>Planilha1!B7</f>
        <v>CPFL PAULISTA</v>
      </c>
      <c r="D65" s="6">
        <v>3364755.563975262</v>
      </c>
    </row>
    <row r="66" spans="1:4" x14ac:dyDescent="0.25">
      <c r="A66" s="5" t="s">
        <v>24</v>
      </c>
      <c r="B66" s="5" t="str">
        <f>Planilha1!B21</f>
        <v>Reallizi</v>
      </c>
      <c r="C66" s="5" t="str">
        <f>Planilha1!B8</f>
        <v>RGE</v>
      </c>
      <c r="D66" s="6">
        <v>2020756.393059467</v>
      </c>
    </row>
    <row r="67" spans="1:4" x14ac:dyDescent="0.25">
      <c r="A67" s="5" t="s">
        <v>24</v>
      </c>
      <c r="B67" s="5" t="str">
        <f>Planilha1!B21</f>
        <v>Reallizi</v>
      </c>
      <c r="C67" s="5" t="str">
        <f>Planilha1!B9</f>
        <v>CPFL SANTA CRUZ</v>
      </c>
      <c r="D67" s="6">
        <v>358758.99892110692</v>
      </c>
    </row>
    <row r="68" spans="1:4" x14ac:dyDescent="0.25">
      <c r="A68" s="5" t="s">
        <v>24</v>
      </c>
      <c r="B68" s="5" t="str">
        <f>Planilha1!B21</f>
        <v>Reallizi</v>
      </c>
      <c r="C68" s="5" t="str">
        <f>Planilha1!B10</f>
        <v>CPFL PIRATININGA</v>
      </c>
      <c r="D68" s="6">
        <v>1231398.0812621319</v>
      </c>
    </row>
    <row r="69" spans="1:4" x14ac:dyDescent="0.25">
      <c r="A69" s="5" t="s">
        <v>24</v>
      </c>
      <c r="B69" s="5" t="str">
        <f>Planilha1!B21</f>
        <v>Reallizi</v>
      </c>
      <c r="C69" s="5" t="str">
        <f>Planilha1!B11</f>
        <v>CELPE</v>
      </c>
      <c r="D69" s="6">
        <v>2172664.459636888</v>
      </c>
    </row>
    <row r="70" spans="1:4" x14ac:dyDescent="0.25">
      <c r="A70" s="5" t="s">
        <v>24</v>
      </c>
      <c r="B70" s="5" t="str">
        <f>Planilha1!B21</f>
        <v>Reallizi</v>
      </c>
      <c r="C70" s="5" t="str">
        <f>Planilha1!B12</f>
        <v>COELBA</v>
      </c>
      <c r="D70" s="6">
        <v>2662144.9278761828</v>
      </c>
    </row>
    <row r="71" spans="1:4" x14ac:dyDescent="0.25">
      <c r="A71" s="5" t="s">
        <v>24</v>
      </c>
      <c r="B71" s="5" t="str">
        <f>Planilha1!B21</f>
        <v>Reallizi</v>
      </c>
      <c r="C71" s="5" t="str">
        <f>Planilha1!B13</f>
        <v>COSERN</v>
      </c>
      <c r="D71" s="6">
        <v>803968.15830504906</v>
      </c>
    </row>
    <row r="72" spans="1:4" x14ac:dyDescent="0.25">
      <c r="A72" s="5" t="s">
        <v>24</v>
      </c>
      <c r="B72" s="5" t="str">
        <f>Planilha1!B21</f>
        <v>Reallizi</v>
      </c>
      <c r="C72" s="5" t="str">
        <f>Planilha1!B14</f>
        <v>ELEKTRO</v>
      </c>
      <c r="D72" s="6">
        <v>1185901.7943052789</v>
      </c>
    </row>
    <row r="73" spans="1:4" x14ac:dyDescent="0.25">
      <c r="A73" s="5" t="s">
        <v>24</v>
      </c>
      <c r="B73" s="5" t="str">
        <f>Planilha1!B21</f>
        <v>Reallizi</v>
      </c>
      <c r="C73" s="5" t="str">
        <f>Planilha1!B15</f>
        <v>COPEL</v>
      </c>
      <c r="D73" s="6">
        <v>0</v>
      </c>
    </row>
    <row r="74" spans="1:4" x14ac:dyDescent="0.25">
      <c r="A74" s="5" t="s">
        <v>24</v>
      </c>
      <c r="B74" s="5" t="str">
        <f>Planilha1!B22</f>
        <v>Corban</v>
      </c>
      <c r="C74" s="5" t="str">
        <f>Planilha1!B4</f>
        <v>ENEL CE</v>
      </c>
      <c r="D74" s="6">
        <v>2099432.333212045</v>
      </c>
    </row>
    <row r="75" spans="1:4" x14ac:dyDescent="0.25">
      <c r="A75" s="5" t="s">
        <v>24</v>
      </c>
      <c r="B75" s="5" t="str">
        <f>Planilha1!B22</f>
        <v>Corban</v>
      </c>
      <c r="C75" s="5" t="str">
        <f>Planilha1!B5</f>
        <v>ENEL RJ</v>
      </c>
      <c r="D75" s="6">
        <v>1433368.027269193</v>
      </c>
    </row>
    <row r="76" spans="1:4" x14ac:dyDescent="0.25">
      <c r="A76" s="5" t="s">
        <v>24</v>
      </c>
      <c r="B76" s="5" t="str">
        <f>Planilha1!B22</f>
        <v>Corban</v>
      </c>
      <c r="C76" s="5" t="str">
        <f>Planilha1!B6</f>
        <v>ENEL SP</v>
      </c>
      <c r="D76" s="6">
        <v>5430951.8534596805</v>
      </c>
    </row>
    <row r="77" spans="1:4" x14ac:dyDescent="0.25">
      <c r="A77" s="5" t="s">
        <v>24</v>
      </c>
      <c r="B77" s="5" t="str">
        <f>Planilha1!B22</f>
        <v>Corban</v>
      </c>
      <c r="C77" s="5" t="str">
        <f>Planilha1!B7</f>
        <v>CPFL PAULISTA</v>
      </c>
      <c r="D77" s="6">
        <v>6488488.8096621558</v>
      </c>
    </row>
    <row r="78" spans="1:4" x14ac:dyDescent="0.25">
      <c r="A78" s="5" t="s">
        <v>24</v>
      </c>
      <c r="B78" s="5" t="str">
        <f>Planilha1!B22</f>
        <v>Corban</v>
      </c>
      <c r="C78" s="5" t="str">
        <f>Planilha1!B8</f>
        <v>RGE</v>
      </c>
      <c r="D78" s="6">
        <v>3896763.0765810981</v>
      </c>
    </row>
    <row r="79" spans="1:4" x14ac:dyDescent="0.25">
      <c r="A79" s="5" t="s">
        <v>24</v>
      </c>
      <c r="B79" s="5" t="str">
        <f>Planilha1!B22</f>
        <v>Corban</v>
      </c>
      <c r="C79" s="5" t="str">
        <f>Planilha1!B9</f>
        <v>CPFL SANTA CRUZ</v>
      </c>
      <c r="D79" s="6">
        <v>691819.57072537986</v>
      </c>
    </row>
    <row r="80" spans="1:4" x14ac:dyDescent="0.25">
      <c r="A80" s="5" t="s">
        <v>24</v>
      </c>
      <c r="B80" s="5" t="str">
        <f>Planilha1!B22</f>
        <v>Corban</v>
      </c>
      <c r="C80" s="5" t="str">
        <f>Planilha1!B10</f>
        <v>CPFL PIRATININGA</v>
      </c>
      <c r="D80" s="6">
        <v>2374589.3330418272</v>
      </c>
    </row>
    <row r="81" spans="1:4" x14ac:dyDescent="0.25">
      <c r="A81" s="5" t="s">
        <v>24</v>
      </c>
      <c r="B81" s="5" t="str">
        <f>Planilha1!B22</f>
        <v>Corban</v>
      </c>
      <c r="C81" s="5" t="str">
        <f>Planilha1!B11</f>
        <v>CELPE</v>
      </c>
      <c r="D81" s="6">
        <v>4189697.8147350112</v>
      </c>
    </row>
    <row r="82" spans="1:4" x14ac:dyDescent="0.25">
      <c r="A82" s="5" t="s">
        <v>24</v>
      </c>
      <c r="B82" s="5" t="str">
        <f>Planilha1!B22</f>
        <v>Corban</v>
      </c>
      <c r="C82" s="5" t="str">
        <f>Planilha1!B12</f>
        <v>COELBA</v>
      </c>
      <c r="D82" s="6">
        <v>5133596.555767661</v>
      </c>
    </row>
    <row r="83" spans="1:4" x14ac:dyDescent="0.25">
      <c r="A83" s="5" t="s">
        <v>24</v>
      </c>
      <c r="B83" s="5" t="str">
        <f>Planilha1!B22</f>
        <v>Corban</v>
      </c>
      <c r="C83" s="5" t="str">
        <f>Planilha1!B13</f>
        <v>COSERN</v>
      </c>
      <c r="D83" s="6">
        <v>1550346.9120722599</v>
      </c>
    </row>
    <row r="84" spans="1:4" x14ac:dyDescent="0.25">
      <c r="A84" s="5" t="s">
        <v>24</v>
      </c>
      <c r="B84" s="5" t="str">
        <f>Planilha1!B22</f>
        <v>Corban</v>
      </c>
      <c r="C84" s="5" t="str">
        <f>Planilha1!B14</f>
        <v>ELEKTRO</v>
      </c>
      <c r="D84" s="6">
        <v>2286855.7241100832</v>
      </c>
    </row>
    <row r="85" spans="1:4" x14ac:dyDescent="0.25">
      <c r="A85" s="5" t="s">
        <v>24</v>
      </c>
      <c r="B85" s="5" t="str">
        <f>Planilha1!B22</f>
        <v>Corban</v>
      </c>
      <c r="C85" s="5" t="str">
        <f>Planilha1!B15</f>
        <v>COPEL</v>
      </c>
      <c r="D85" s="6">
        <v>0</v>
      </c>
    </row>
    <row r="86" spans="1:4" x14ac:dyDescent="0.25">
      <c r="A86" s="5" t="s">
        <v>24</v>
      </c>
      <c r="B86" s="5" t="str">
        <f>Planilha1!B23</f>
        <v>Lojas</v>
      </c>
      <c r="C86" s="5" t="str">
        <f>Planilha1!B4</f>
        <v>ENEL CE</v>
      </c>
      <c r="D86" s="6">
        <v>1035037.978590444</v>
      </c>
    </row>
    <row r="87" spans="1:4" x14ac:dyDescent="0.25">
      <c r="A87" s="5" t="s">
        <v>24</v>
      </c>
      <c r="B87" s="5" t="str">
        <f>Planilha1!B23</f>
        <v>Lojas</v>
      </c>
      <c r="C87" s="5" t="str">
        <f>Planilha1!B5</f>
        <v>ENEL RJ</v>
      </c>
      <c r="D87" s="6">
        <v>706662.6163897576</v>
      </c>
    </row>
    <row r="88" spans="1:4" x14ac:dyDescent="0.25">
      <c r="A88" s="5" t="s">
        <v>24</v>
      </c>
      <c r="B88" s="5" t="str">
        <f>Planilha1!B23</f>
        <v>Lojas</v>
      </c>
      <c r="C88" s="5" t="str">
        <f>Planilha1!B6</f>
        <v>ENEL SP</v>
      </c>
      <c r="D88" s="6">
        <v>2677505.4091058332</v>
      </c>
    </row>
    <row r="89" spans="1:4" x14ac:dyDescent="0.25">
      <c r="A89" s="5" t="s">
        <v>24</v>
      </c>
      <c r="B89" s="5" t="str">
        <f>Planilha1!B23</f>
        <v>Lojas</v>
      </c>
      <c r="C89" s="5" t="str">
        <f>Planilha1!B7</f>
        <v>CPFL PAULISTA</v>
      </c>
      <c r="D89" s="6">
        <v>3198880.1141232708</v>
      </c>
    </row>
    <row r="90" spans="1:4" x14ac:dyDescent="0.25">
      <c r="A90" s="5" t="s">
        <v>24</v>
      </c>
      <c r="B90" s="5" t="str">
        <f>Planilha1!B23</f>
        <v>Lojas</v>
      </c>
      <c r="C90" s="5" t="str">
        <f>Planilha1!B8</f>
        <v>RGE</v>
      </c>
      <c r="D90" s="6">
        <v>1921137.3065116119</v>
      </c>
    </row>
    <row r="91" spans="1:4" x14ac:dyDescent="0.25">
      <c r="A91" s="5" t="s">
        <v>24</v>
      </c>
      <c r="B91" s="5" t="str">
        <f>Planilha1!B23</f>
        <v>Lojas</v>
      </c>
      <c r="C91" s="5" t="str">
        <f>Planilha1!B9</f>
        <v>CPFL SANTA CRUZ</v>
      </c>
      <c r="D91" s="6">
        <v>341072.9265740916</v>
      </c>
    </row>
    <row r="92" spans="1:4" x14ac:dyDescent="0.25">
      <c r="A92" s="5" t="s">
        <v>24</v>
      </c>
      <c r="B92" s="5" t="str">
        <f>Planilha1!B23</f>
        <v>Lojas</v>
      </c>
      <c r="C92" s="5" t="str">
        <f>Planilha1!B10</f>
        <v>CPFL PIRATININGA</v>
      </c>
      <c r="D92" s="6">
        <v>1170692.717442207</v>
      </c>
    </row>
    <row r="93" spans="1:4" x14ac:dyDescent="0.25">
      <c r="A93" s="5" t="s">
        <v>24</v>
      </c>
      <c r="B93" s="5" t="str">
        <f>Planilha1!B23</f>
        <v>Lojas</v>
      </c>
      <c r="C93" s="5" t="str">
        <f>Planilha1!B11</f>
        <v>CELPE</v>
      </c>
      <c r="D93" s="6">
        <v>2065556.621409876</v>
      </c>
    </row>
    <row r="94" spans="1:4" x14ac:dyDescent="0.25">
      <c r="A94" s="5" t="s">
        <v>24</v>
      </c>
      <c r="B94" s="5" t="str">
        <f>Planilha1!B23</f>
        <v>Lojas</v>
      </c>
      <c r="C94" s="5" t="str">
        <f>Planilha1!B12</f>
        <v>COELBA</v>
      </c>
      <c r="D94" s="6">
        <v>2530906.7207949669</v>
      </c>
    </row>
    <row r="95" spans="1:4" x14ac:dyDescent="0.25">
      <c r="A95" s="5" t="s">
        <v>24</v>
      </c>
      <c r="B95" s="5" t="str">
        <f>Planilha1!B23</f>
        <v>Lojas</v>
      </c>
      <c r="C95" s="5" t="str">
        <f>Planilha1!B13</f>
        <v>COSERN</v>
      </c>
      <c r="D95" s="6">
        <v>764334.20053607179</v>
      </c>
    </row>
    <row r="96" spans="1:4" x14ac:dyDescent="0.25">
      <c r="A96" s="5" t="s">
        <v>24</v>
      </c>
      <c r="B96" s="5" t="str">
        <f>Planilha1!B23</f>
        <v>Lojas</v>
      </c>
      <c r="C96" s="5" t="str">
        <f>Planilha1!B14</f>
        <v>ELEKTRO</v>
      </c>
      <c r="D96" s="6">
        <v>1127439.3027897689</v>
      </c>
    </row>
    <row r="97" spans="1:4" x14ac:dyDescent="0.25">
      <c r="A97" s="5" t="s">
        <v>24</v>
      </c>
      <c r="B97" s="5" t="str">
        <f>Planilha1!B23</f>
        <v>Lojas</v>
      </c>
      <c r="C97" s="5" t="str">
        <f>Planilha1!B15</f>
        <v>COPEL</v>
      </c>
      <c r="D97" s="6">
        <v>0</v>
      </c>
    </row>
    <row r="98" spans="1:4" x14ac:dyDescent="0.25">
      <c r="A98" s="5" t="s">
        <v>24</v>
      </c>
      <c r="B98" s="5" t="str">
        <f>Planilha1!B24</f>
        <v>Canal Interno</v>
      </c>
      <c r="C98" s="5" t="str">
        <f>Planilha1!B4</f>
        <v>ENEL CE</v>
      </c>
      <c r="D98" s="6">
        <v>737712.40084302751</v>
      </c>
    </row>
    <row r="99" spans="1:4" x14ac:dyDescent="0.25">
      <c r="A99" s="5" t="s">
        <v>24</v>
      </c>
      <c r="B99" s="5" t="str">
        <f>Planilha1!B24</f>
        <v>Canal Interno</v>
      </c>
      <c r="C99" s="5" t="str">
        <f>Planilha1!B5</f>
        <v>ENEL RJ</v>
      </c>
      <c r="D99" s="6">
        <v>503666.32539691869</v>
      </c>
    </row>
    <row r="100" spans="1:4" x14ac:dyDescent="0.25">
      <c r="A100" s="5" t="s">
        <v>24</v>
      </c>
      <c r="B100" s="5" t="str">
        <f>Planilha1!B24</f>
        <v>Canal Interno</v>
      </c>
      <c r="C100" s="5" t="str">
        <f>Planilha1!B6</f>
        <v>ENEL SP</v>
      </c>
      <c r="D100" s="6">
        <v>1908363.7359004</v>
      </c>
    </row>
    <row r="101" spans="1:4" x14ac:dyDescent="0.25">
      <c r="A101" s="5" t="s">
        <v>24</v>
      </c>
      <c r="B101" s="5" t="str">
        <f>Planilha1!B24</f>
        <v>Canal Interno</v>
      </c>
      <c r="C101" s="5" t="str">
        <f>Planilha1!B7</f>
        <v>CPFL PAULISTA</v>
      </c>
      <c r="D101" s="6">
        <v>2279968.0570297912</v>
      </c>
    </row>
    <row r="102" spans="1:4" x14ac:dyDescent="0.25">
      <c r="A102" s="5" t="s">
        <v>24</v>
      </c>
      <c r="B102" s="5" t="str">
        <f>Planilha1!B24</f>
        <v>Canal Interno</v>
      </c>
      <c r="C102" s="5" t="str">
        <f>Planilha1!B8</f>
        <v>RGE</v>
      </c>
      <c r="D102" s="6">
        <v>1369270.3495439391</v>
      </c>
    </row>
    <row r="103" spans="1:4" x14ac:dyDescent="0.25">
      <c r="A103" s="5" t="s">
        <v>24</v>
      </c>
      <c r="B103" s="5" t="str">
        <f>Planilha1!B24</f>
        <v>Canal Interno</v>
      </c>
      <c r="C103" s="5" t="str">
        <f>Planilha1!B9</f>
        <v>CPFL SANTA CRUZ</v>
      </c>
      <c r="D103" s="6">
        <v>243096.1305093253</v>
      </c>
    </row>
    <row r="104" spans="1:4" x14ac:dyDescent="0.25">
      <c r="A104" s="5" t="s">
        <v>24</v>
      </c>
      <c r="B104" s="5" t="str">
        <f>Planilha1!B24</f>
        <v>Canal Interno</v>
      </c>
      <c r="C104" s="5" t="str">
        <f>Planilha1!B10</f>
        <v>CPFL PIRATININGA</v>
      </c>
      <c r="D104" s="6">
        <v>834398.88496639591</v>
      </c>
    </row>
    <row r="105" spans="1:4" x14ac:dyDescent="0.25">
      <c r="A105" s="5" t="s">
        <v>24</v>
      </c>
      <c r="B105" s="5" t="str">
        <f>Planilha1!B24</f>
        <v>Canal Interno</v>
      </c>
      <c r="C105" s="5" t="str">
        <f>Planilha1!B11</f>
        <v>CELPE</v>
      </c>
      <c r="D105" s="6">
        <v>1472203.692788787</v>
      </c>
    </row>
    <row r="106" spans="1:4" x14ac:dyDescent="0.25">
      <c r="A106" s="5" t="s">
        <v>24</v>
      </c>
      <c r="B106" s="5" t="str">
        <f>Planilha1!B24</f>
        <v>Canal Interno</v>
      </c>
      <c r="C106" s="5" t="str">
        <f>Planilha1!B12</f>
        <v>COELBA</v>
      </c>
      <c r="D106" s="6">
        <v>1803877.0672454699</v>
      </c>
    </row>
    <row r="107" spans="1:4" x14ac:dyDescent="0.25">
      <c r="A107" s="5" t="s">
        <v>24</v>
      </c>
      <c r="B107" s="5" t="str">
        <f>Planilha1!B24</f>
        <v>Canal Interno</v>
      </c>
      <c r="C107" s="5" t="str">
        <f>Planilha1!B13</f>
        <v>COSERN</v>
      </c>
      <c r="D107" s="6">
        <v>544771.13863182801</v>
      </c>
    </row>
    <row r="108" spans="1:4" x14ac:dyDescent="0.25">
      <c r="A108" s="5" t="s">
        <v>24</v>
      </c>
      <c r="B108" s="5" t="str">
        <f>Planilha1!B24</f>
        <v>Canal Interno</v>
      </c>
      <c r="C108" s="5" t="str">
        <f>Planilha1!B14</f>
        <v>ELEKTRO</v>
      </c>
      <c r="D108" s="6">
        <v>803570.46994401806</v>
      </c>
    </row>
    <row r="109" spans="1:4" x14ac:dyDescent="0.25">
      <c r="A109" s="5" t="s">
        <v>24</v>
      </c>
      <c r="B109" s="5" t="str">
        <f>Planilha1!B24</f>
        <v>Canal Interno</v>
      </c>
      <c r="C109" s="5" t="str">
        <f>Planilha1!B15</f>
        <v>COPEL</v>
      </c>
      <c r="D109" s="6">
        <v>0</v>
      </c>
    </row>
    <row r="110" spans="1:4" x14ac:dyDescent="0.25">
      <c r="A110" s="5" t="s">
        <v>24</v>
      </c>
      <c r="B110" s="5" t="str">
        <f>Planilha1!B25</f>
        <v>Canal Digital</v>
      </c>
      <c r="C110" s="5" t="str">
        <f>Planilha1!B4</f>
        <v>ENEL CE</v>
      </c>
      <c r="D110" s="6">
        <v>105228.25500392821</v>
      </c>
    </row>
    <row r="111" spans="1:4" x14ac:dyDescent="0.25">
      <c r="A111" s="5" t="s">
        <v>24</v>
      </c>
      <c r="B111" s="5" t="str">
        <f>Planilha1!B25</f>
        <v>Canal Digital</v>
      </c>
      <c r="C111" s="5" t="str">
        <f>Planilha1!B5</f>
        <v>ENEL RJ</v>
      </c>
      <c r="D111" s="6">
        <v>71843.618821091106</v>
      </c>
    </row>
    <row r="112" spans="1:4" x14ac:dyDescent="0.25">
      <c r="A112" s="5" t="s">
        <v>24</v>
      </c>
      <c r="B112" s="5" t="str">
        <f>Planilha1!B25</f>
        <v>Canal Digital</v>
      </c>
      <c r="C112" s="5" t="str">
        <f>Planilha1!B6</f>
        <v>ENEL SP</v>
      </c>
      <c r="D112" s="6">
        <v>272211.48188927618</v>
      </c>
    </row>
    <row r="113" spans="1:4" x14ac:dyDescent="0.25">
      <c r="A113" s="5" t="s">
        <v>24</v>
      </c>
      <c r="B113" s="5" t="str">
        <f>Planilha1!B25</f>
        <v>Canal Digital</v>
      </c>
      <c r="C113" s="5" t="str">
        <f>Planilha1!B7</f>
        <v>CPFL PAULISTA</v>
      </c>
      <c r="D113" s="6">
        <v>325217.60489829647</v>
      </c>
    </row>
    <row r="114" spans="1:4" x14ac:dyDescent="0.25">
      <c r="A114" s="5" t="s">
        <v>24</v>
      </c>
      <c r="B114" s="5" t="str">
        <f>Planilha1!B25</f>
        <v>Canal Digital</v>
      </c>
      <c r="C114" s="5" t="str">
        <f>Planilha1!B8</f>
        <v>RGE</v>
      </c>
      <c r="D114" s="6">
        <v>195314.50107992219</v>
      </c>
    </row>
    <row r="115" spans="1:4" x14ac:dyDescent="0.25">
      <c r="A115" s="5" t="s">
        <v>24</v>
      </c>
      <c r="B115" s="5" t="str">
        <f>Planilha1!B25</f>
        <v>Canal Digital</v>
      </c>
      <c r="C115" s="5" t="str">
        <f>Planilha1!B9</f>
        <v>CPFL SANTA CRUZ</v>
      </c>
      <c r="D115" s="6">
        <v>34675.547791349381</v>
      </c>
    </row>
    <row r="116" spans="1:4" x14ac:dyDescent="0.25">
      <c r="A116" s="5" t="s">
        <v>24</v>
      </c>
      <c r="B116" s="5" t="str">
        <f>Planilha1!B25</f>
        <v>Canal Digital</v>
      </c>
      <c r="C116" s="5" t="str">
        <f>Planilha1!B10</f>
        <v>CPFL PIRATININGA</v>
      </c>
      <c r="D116" s="6">
        <v>119019.7406765839</v>
      </c>
    </row>
    <row r="117" spans="1:4" x14ac:dyDescent="0.25">
      <c r="A117" s="5" t="s">
        <v>24</v>
      </c>
      <c r="B117" s="5" t="str">
        <f>Planilha1!B25</f>
        <v>Canal Digital</v>
      </c>
      <c r="C117" s="5" t="str">
        <f>Planilha1!B11</f>
        <v>CELPE</v>
      </c>
      <c r="D117" s="6">
        <v>209997.046851144</v>
      </c>
    </row>
    <row r="118" spans="1:4" x14ac:dyDescent="0.25">
      <c r="A118" s="5" t="s">
        <v>24</v>
      </c>
      <c r="B118" s="5" t="str">
        <f>Planilha1!B25</f>
        <v>Canal Digital</v>
      </c>
      <c r="C118" s="5" t="str">
        <f>Planilha1!B12</f>
        <v>COELBA</v>
      </c>
      <c r="D118" s="6">
        <v>257307.36776408699</v>
      </c>
    </row>
    <row r="119" spans="1:4" x14ac:dyDescent="0.25">
      <c r="A119" s="5" t="s">
        <v>24</v>
      </c>
      <c r="B119" s="5" t="str">
        <f>Planilha1!B25</f>
        <v>Canal Digital</v>
      </c>
      <c r="C119" s="5" t="str">
        <f>Planilha1!B13</f>
        <v>COSERN</v>
      </c>
      <c r="D119" s="6">
        <v>77706.862768229577</v>
      </c>
    </row>
    <row r="120" spans="1:4" x14ac:dyDescent="0.25">
      <c r="A120" s="5" t="s">
        <v>24</v>
      </c>
      <c r="B120" s="5" t="str">
        <f>Planilha1!B25</f>
        <v>Canal Digital</v>
      </c>
      <c r="C120" s="5" t="str">
        <f>Planilha1!B14</f>
        <v>ELEKTRO</v>
      </c>
      <c r="D120" s="6">
        <v>114622.33551756181</v>
      </c>
    </row>
    <row r="121" spans="1:4" x14ac:dyDescent="0.25">
      <c r="A121" s="5" t="s">
        <v>24</v>
      </c>
      <c r="B121" s="5" t="str">
        <f>Planilha1!B25</f>
        <v>Canal Digital</v>
      </c>
      <c r="C121" s="5" t="str">
        <f>Planilha1!B15</f>
        <v>COPEL</v>
      </c>
      <c r="D121" s="6">
        <v>0</v>
      </c>
    </row>
    <row r="122" spans="1:4" x14ac:dyDescent="0.25">
      <c r="A122" s="5" t="s">
        <v>25</v>
      </c>
      <c r="B122" s="5" t="str">
        <f>Planilha1!B21</f>
        <v>Reallizi</v>
      </c>
      <c r="C122" s="5" t="str">
        <f>Planilha1!B4</f>
        <v>ENEL CE</v>
      </c>
      <c r="D122" s="6">
        <v>1392191.1427551629</v>
      </c>
    </row>
    <row r="123" spans="1:4" x14ac:dyDescent="0.25">
      <c r="A123" s="5" t="s">
        <v>25</v>
      </c>
      <c r="B123" s="5" t="str">
        <f>Planilha1!B21</f>
        <v>Reallizi</v>
      </c>
      <c r="C123" s="5" t="str">
        <f>Planilha1!B5</f>
        <v>ENEL RJ</v>
      </c>
      <c r="D123" s="6">
        <v>950505.63921703107</v>
      </c>
    </row>
    <row r="124" spans="1:4" x14ac:dyDescent="0.25">
      <c r="A124" s="5" t="s">
        <v>25</v>
      </c>
      <c r="B124" s="5" t="str">
        <f>Planilha1!B21</f>
        <v>Reallizi</v>
      </c>
      <c r="C124" s="5" t="str">
        <f>Planilha1!B6</f>
        <v>ENEL SP</v>
      </c>
      <c r="D124" s="6">
        <v>3601413.0808152491</v>
      </c>
    </row>
    <row r="125" spans="1:4" x14ac:dyDescent="0.25">
      <c r="A125" s="5" t="s">
        <v>25</v>
      </c>
      <c r="B125" s="5" t="str">
        <f>Planilha1!B21</f>
        <v>Reallizi</v>
      </c>
      <c r="C125" s="5" t="str">
        <f>Planilha1!B7</f>
        <v>CPFL PAULISTA</v>
      </c>
      <c r="D125" s="6">
        <v>4293069.6371240038</v>
      </c>
    </row>
    <row r="126" spans="1:4" x14ac:dyDescent="0.25">
      <c r="A126" s="5" t="s">
        <v>25</v>
      </c>
      <c r="B126" s="5" t="str">
        <f>Planilha1!B21</f>
        <v>Reallizi</v>
      </c>
      <c r="C126" s="5" t="str">
        <f>Planilha1!B8</f>
        <v>RGE</v>
      </c>
      <c r="D126" s="6">
        <v>2578269.8772978629</v>
      </c>
    </row>
    <row r="127" spans="1:4" x14ac:dyDescent="0.25">
      <c r="A127" s="5" t="s">
        <v>25</v>
      </c>
      <c r="B127" s="5" t="str">
        <f>Planilha1!B21</f>
        <v>Reallizi</v>
      </c>
      <c r="C127" s="5" t="str">
        <f>Planilha1!B9</f>
        <v>CPFL SANTA CRUZ</v>
      </c>
      <c r="D127" s="6">
        <v>457738.2624173676</v>
      </c>
    </row>
    <row r="128" spans="1:4" x14ac:dyDescent="0.25">
      <c r="A128" s="5" t="s">
        <v>25</v>
      </c>
      <c r="B128" s="5" t="str">
        <f>Planilha1!B21</f>
        <v>Reallizi</v>
      </c>
      <c r="C128" s="5" t="str">
        <f>Planilha1!B10</f>
        <v>CPFL PIRATININGA</v>
      </c>
      <c r="D128" s="6">
        <v>1571132.7653273989</v>
      </c>
    </row>
    <row r="129" spans="1:4" x14ac:dyDescent="0.25">
      <c r="A129" s="5" t="s">
        <v>25</v>
      </c>
      <c r="B129" s="5" t="str">
        <f>Planilha1!B21</f>
        <v>Reallizi</v>
      </c>
      <c r="C129" s="5" t="str">
        <f>Planilha1!B11</f>
        <v>CELPE</v>
      </c>
      <c r="D129" s="6">
        <v>2532989.937939412</v>
      </c>
    </row>
    <row r="130" spans="1:4" x14ac:dyDescent="0.25">
      <c r="A130" s="5" t="s">
        <v>25</v>
      </c>
      <c r="B130" s="5" t="str">
        <f>Planilha1!B21</f>
        <v>Reallizi</v>
      </c>
      <c r="C130" s="5" t="str">
        <f>Planilha1!B12</f>
        <v>COELBA</v>
      </c>
      <c r="D130" s="6">
        <v>3103648.281140381</v>
      </c>
    </row>
    <row r="131" spans="1:4" x14ac:dyDescent="0.25">
      <c r="A131" s="5" t="s">
        <v>25</v>
      </c>
      <c r="B131" s="5" t="str">
        <f>Planilha1!B21</f>
        <v>Reallizi</v>
      </c>
      <c r="C131" s="5" t="str">
        <f>Planilha1!B13</f>
        <v>COSERN</v>
      </c>
      <c r="D131" s="6">
        <v>937302.2356847123</v>
      </c>
    </row>
    <row r="132" spans="1:4" x14ac:dyDescent="0.25">
      <c r="A132" s="5" t="s">
        <v>25</v>
      </c>
      <c r="B132" s="5" t="str">
        <f>Planilha1!B21</f>
        <v>Reallizi</v>
      </c>
      <c r="C132" s="5" t="str">
        <f>Planilha1!B14</f>
        <v>ELEKTRO</v>
      </c>
      <c r="D132" s="6">
        <v>1382577.6451747201</v>
      </c>
    </row>
    <row r="133" spans="1:4" x14ac:dyDescent="0.25">
      <c r="A133" s="5" t="s">
        <v>25</v>
      </c>
      <c r="B133" s="5" t="str">
        <f>Planilha1!B21</f>
        <v>Reallizi</v>
      </c>
      <c r="C133" s="5" t="str">
        <f>Planilha1!B15</f>
        <v>COPEL</v>
      </c>
      <c r="D133" s="6">
        <v>0</v>
      </c>
    </row>
    <row r="134" spans="1:4" x14ac:dyDescent="0.25">
      <c r="A134" s="5" t="s">
        <v>25</v>
      </c>
      <c r="B134" s="5" t="str">
        <f>Planilha1!B22</f>
        <v>Corban</v>
      </c>
      <c r="C134" s="5" t="str">
        <f>Planilha1!B4</f>
        <v>ENEL CE</v>
      </c>
      <c r="D134" s="6">
        <v>2722118.6050787629</v>
      </c>
    </row>
    <row r="135" spans="1:4" x14ac:dyDescent="0.25">
      <c r="A135" s="5" t="s">
        <v>25</v>
      </c>
      <c r="B135" s="5" t="str">
        <f>Planilha1!B22</f>
        <v>Corban</v>
      </c>
      <c r="C135" s="5" t="str">
        <f>Planilha1!B5</f>
        <v>ENEL RJ</v>
      </c>
      <c r="D135" s="6">
        <v>1858501.325920295</v>
      </c>
    </row>
    <row r="136" spans="1:4" x14ac:dyDescent="0.25">
      <c r="A136" s="5" t="s">
        <v>25</v>
      </c>
      <c r="B136" s="5" t="str">
        <f>Planilha1!B22</f>
        <v>Corban</v>
      </c>
      <c r="C136" s="5" t="str">
        <f>Planilha1!B6</f>
        <v>ENEL SP</v>
      </c>
      <c r="D136" s="6">
        <v>7041758.3123392239</v>
      </c>
    </row>
    <row r="137" spans="1:4" x14ac:dyDescent="0.25">
      <c r="A137" s="5" t="s">
        <v>25</v>
      </c>
      <c r="B137" s="5" t="str">
        <f>Planilha1!B22</f>
        <v>Corban</v>
      </c>
      <c r="C137" s="5" t="str">
        <f>Planilha1!B7</f>
        <v>CPFL PAULISTA</v>
      </c>
      <c r="D137" s="6">
        <v>8394138.1130947042</v>
      </c>
    </row>
    <row r="138" spans="1:4" x14ac:dyDescent="0.25">
      <c r="A138" s="5" t="s">
        <v>25</v>
      </c>
      <c r="B138" s="5" t="str">
        <f>Planilha1!B22</f>
        <v>Corban</v>
      </c>
      <c r="C138" s="5" t="str">
        <f>Planilha1!B8</f>
        <v>RGE</v>
      </c>
      <c r="D138" s="6">
        <v>5041230.4649613267</v>
      </c>
    </row>
    <row r="139" spans="1:4" x14ac:dyDescent="0.25">
      <c r="A139" s="5" t="s">
        <v>25</v>
      </c>
      <c r="B139" s="5" t="str">
        <f>Planilha1!B22</f>
        <v>Corban</v>
      </c>
      <c r="C139" s="5" t="str">
        <f>Planilha1!B9</f>
        <v>CPFL SANTA CRUZ</v>
      </c>
      <c r="D139" s="6">
        <v>895004.86112622207</v>
      </c>
    </row>
    <row r="140" spans="1:4" x14ac:dyDescent="0.25">
      <c r="A140" s="5" t="s">
        <v>25</v>
      </c>
      <c r="B140" s="5" t="str">
        <f>Planilha1!B22</f>
        <v>Corban</v>
      </c>
      <c r="C140" s="5" t="str">
        <f>Planilha1!B10</f>
        <v>CPFL PIRATININGA</v>
      </c>
      <c r="D140" s="6">
        <v>3071998.9520136588</v>
      </c>
    </row>
    <row r="141" spans="1:4" x14ac:dyDescent="0.25">
      <c r="A141" s="5" t="s">
        <v>25</v>
      </c>
      <c r="B141" s="5" t="str">
        <f>Planilha1!B22</f>
        <v>Corban</v>
      </c>
      <c r="C141" s="5" t="str">
        <f>Planilha1!B11</f>
        <v>CELPE</v>
      </c>
      <c r="D141" s="6">
        <v>4952695.6642582063</v>
      </c>
    </row>
    <row r="142" spans="1:4" x14ac:dyDescent="0.25">
      <c r="A142" s="5" t="s">
        <v>25</v>
      </c>
      <c r="B142" s="5" t="str">
        <f>Planilha1!B22</f>
        <v>Corban</v>
      </c>
      <c r="C142" s="5" t="str">
        <f>Planilha1!B12</f>
        <v>COELBA</v>
      </c>
      <c r="D142" s="6">
        <v>6068490.5041079884</v>
      </c>
    </row>
    <row r="143" spans="1:4" x14ac:dyDescent="0.25">
      <c r="A143" s="5" t="s">
        <v>25</v>
      </c>
      <c r="B143" s="5" t="str">
        <f>Planilha1!B22</f>
        <v>Corban</v>
      </c>
      <c r="C143" s="5" t="str">
        <f>Planilha1!B13</f>
        <v>COSERN</v>
      </c>
      <c r="D143" s="6">
        <v>1832685.0214618719</v>
      </c>
    </row>
    <row r="144" spans="1:4" x14ac:dyDescent="0.25">
      <c r="A144" s="5" t="s">
        <v>25</v>
      </c>
      <c r="B144" s="5" t="str">
        <f>Planilha1!B22</f>
        <v>Corban</v>
      </c>
      <c r="C144" s="5" t="str">
        <f>Planilha1!B14</f>
        <v>ELEKTRO</v>
      </c>
      <c r="D144" s="6">
        <v>2703321.5593140442</v>
      </c>
    </row>
    <row r="145" spans="1:4" x14ac:dyDescent="0.25">
      <c r="A145" s="5" t="s">
        <v>25</v>
      </c>
      <c r="B145" s="5" t="str">
        <f>Planilha1!B22</f>
        <v>Corban</v>
      </c>
      <c r="C145" s="5" t="str">
        <f>Planilha1!B15</f>
        <v>COPEL</v>
      </c>
      <c r="D145" s="6">
        <v>0</v>
      </c>
    </row>
    <row r="146" spans="1:4" x14ac:dyDescent="0.25">
      <c r="A146" s="5" t="s">
        <v>25</v>
      </c>
      <c r="B146" s="5" t="str">
        <f>Planilha1!B23</f>
        <v>Lojas</v>
      </c>
      <c r="C146" s="5" t="str">
        <f>Planilha1!B4</f>
        <v>ENEL CE</v>
      </c>
      <c r="D146" s="6">
        <v>1332697.137852916</v>
      </c>
    </row>
    <row r="147" spans="1:4" x14ac:dyDescent="0.25">
      <c r="A147" s="5" t="s">
        <v>25</v>
      </c>
      <c r="B147" s="5" t="str">
        <f>Planilha1!B23</f>
        <v>Lojas</v>
      </c>
      <c r="C147" s="5" t="str">
        <f>Planilha1!B5</f>
        <v>ENEL RJ</v>
      </c>
      <c r="D147" s="6">
        <v>909886.65707979386</v>
      </c>
    </row>
    <row r="148" spans="1:4" x14ac:dyDescent="0.25">
      <c r="A148" s="5" t="s">
        <v>25</v>
      </c>
      <c r="B148" s="5" t="str">
        <f>Planilha1!B23</f>
        <v>Lojas</v>
      </c>
      <c r="C148" s="5" t="str">
        <f>Planilha1!B6</f>
        <v>ENEL SP</v>
      </c>
      <c r="D148" s="6">
        <v>3447510.0132659092</v>
      </c>
    </row>
    <row r="149" spans="1:4" x14ac:dyDescent="0.25">
      <c r="A149" s="5" t="s">
        <v>25</v>
      </c>
      <c r="B149" s="5" t="str">
        <f>Planilha1!B23</f>
        <v>Lojas</v>
      </c>
      <c r="C149" s="5" t="str">
        <f>Planilha1!B7</f>
        <v>CPFL PAULISTA</v>
      </c>
      <c r="D149" s="6">
        <v>4109609.2643397888</v>
      </c>
    </row>
    <row r="150" spans="1:4" x14ac:dyDescent="0.25">
      <c r="A150" s="5" t="s">
        <v>25</v>
      </c>
      <c r="B150" s="5" t="str">
        <f>Planilha1!B23</f>
        <v>Lojas</v>
      </c>
      <c r="C150" s="5" t="str">
        <f>Planilha1!B8</f>
        <v>RGE</v>
      </c>
      <c r="D150" s="6">
        <v>2468089.8912251811</v>
      </c>
    </row>
    <row r="151" spans="1:4" x14ac:dyDescent="0.25">
      <c r="A151" s="5" t="s">
        <v>25</v>
      </c>
      <c r="B151" s="5" t="str">
        <f>Planilha1!B23</f>
        <v>Lojas</v>
      </c>
      <c r="C151" s="5" t="str">
        <f>Planilha1!B9</f>
        <v>CPFL SANTA CRUZ</v>
      </c>
      <c r="D151" s="6">
        <v>438177.23980210279</v>
      </c>
    </row>
    <row r="152" spans="1:4" x14ac:dyDescent="0.25">
      <c r="A152" s="5" t="s">
        <v>25</v>
      </c>
      <c r="B152" s="5" t="str">
        <f>Planilha1!B23</f>
        <v>Lojas</v>
      </c>
      <c r="C152" s="5" t="str">
        <f>Planilha1!B10</f>
        <v>CPFL PIRATININGA</v>
      </c>
      <c r="D152" s="6">
        <v>1503991.8551665391</v>
      </c>
    </row>
    <row r="153" spans="1:4" x14ac:dyDescent="0.25">
      <c r="A153" s="5" t="s">
        <v>25</v>
      </c>
      <c r="B153" s="5" t="str">
        <f>Planilha1!B23</f>
        <v>Lojas</v>
      </c>
      <c r="C153" s="5" t="str">
        <f>Planilha1!B11</f>
        <v>CELPE</v>
      </c>
      <c r="D153" s="6">
        <v>2424744.9483276559</v>
      </c>
    </row>
    <row r="154" spans="1:4" x14ac:dyDescent="0.25">
      <c r="A154" s="5" t="s">
        <v>25</v>
      </c>
      <c r="B154" s="5" t="str">
        <f>Planilha1!B23</f>
        <v>Lojas</v>
      </c>
      <c r="C154" s="5" t="str">
        <f>Planilha1!B12</f>
        <v>COELBA</v>
      </c>
      <c r="D154" s="6">
        <v>2971016.7333720219</v>
      </c>
    </row>
    <row r="155" spans="1:4" x14ac:dyDescent="0.25">
      <c r="A155" s="5" t="s">
        <v>25</v>
      </c>
      <c r="B155" s="5" t="str">
        <f>Planilha1!B23</f>
        <v>Lojas</v>
      </c>
      <c r="C155" s="5" t="str">
        <f>Planilha1!B13</f>
        <v>COSERN</v>
      </c>
      <c r="D155" s="6">
        <v>897247.48882405029</v>
      </c>
    </row>
    <row r="156" spans="1:4" x14ac:dyDescent="0.25">
      <c r="A156" s="5" t="s">
        <v>25</v>
      </c>
      <c r="B156" s="5" t="str">
        <f>Planilha1!B23</f>
        <v>Lojas</v>
      </c>
      <c r="C156" s="5" t="str">
        <f>Planilha1!B14</f>
        <v>ELEKTRO</v>
      </c>
      <c r="D156" s="6">
        <v>1323494.464228044</v>
      </c>
    </row>
    <row r="157" spans="1:4" x14ac:dyDescent="0.25">
      <c r="A157" s="5" t="s">
        <v>25</v>
      </c>
      <c r="B157" s="5" t="str">
        <f>Planilha1!B23</f>
        <v>Lojas</v>
      </c>
      <c r="C157" s="5" t="str">
        <f>Planilha1!B15</f>
        <v>COPEL</v>
      </c>
      <c r="D157" s="6">
        <v>0</v>
      </c>
    </row>
    <row r="158" spans="1:4" x14ac:dyDescent="0.25">
      <c r="A158" s="5" t="s">
        <v>25</v>
      </c>
      <c r="B158" s="5" t="str">
        <f>Planilha1!B24</f>
        <v>Canal Interno</v>
      </c>
      <c r="C158" s="5" t="str">
        <f>Planilha1!B4</f>
        <v>ENEL CE</v>
      </c>
      <c r="D158" s="6">
        <v>945726.47021531232</v>
      </c>
    </row>
    <row r="159" spans="1:4" x14ac:dyDescent="0.25">
      <c r="A159" s="5" t="s">
        <v>25</v>
      </c>
      <c r="B159" s="5" t="str">
        <f>Planilha1!B24</f>
        <v>Canal Interno</v>
      </c>
      <c r="C159" s="5" t="str">
        <f>Planilha1!B5</f>
        <v>ENEL RJ</v>
      </c>
      <c r="D159" s="6">
        <v>645686.00926270918</v>
      </c>
    </row>
    <row r="160" spans="1:4" x14ac:dyDescent="0.25">
      <c r="A160" s="5" t="s">
        <v>25</v>
      </c>
      <c r="B160" s="5" t="str">
        <f>Planilha1!B24</f>
        <v>Canal Interno</v>
      </c>
      <c r="C160" s="5" t="str">
        <f>Planilha1!B6</f>
        <v>ENEL SP</v>
      </c>
      <c r="D160" s="6">
        <v>2446468.4310275372</v>
      </c>
    </row>
    <row r="161" spans="1:4" x14ac:dyDescent="0.25">
      <c r="A161" s="5" t="s">
        <v>25</v>
      </c>
      <c r="B161" s="5" t="str">
        <f>Planilha1!B24</f>
        <v>Canal Interno</v>
      </c>
      <c r="C161" s="5" t="str">
        <f>Planilha1!B7</f>
        <v>CPFL PAULISTA</v>
      </c>
      <c r="D161" s="6">
        <v>2916316.208039429</v>
      </c>
    </row>
    <row r="162" spans="1:4" x14ac:dyDescent="0.25">
      <c r="A162" s="5" t="s">
        <v>25</v>
      </c>
      <c r="B162" s="5" t="str">
        <f>Planilha1!B24</f>
        <v>Canal Interno</v>
      </c>
      <c r="C162" s="5" t="str">
        <f>Planilha1!B8</f>
        <v>RGE</v>
      </c>
      <c r="D162" s="6">
        <v>1751439.14900498</v>
      </c>
    </row>
    <row r="163" spans="1:4" x14ac:dyDescent="0.25">
      <c r="A163" s="5" t="s">
        <v>25</v>
      </c>
      <c r="B163" s="5" t="str">
        <f>Planilha1!B24</f>
        <v>Canal Interno</v>
      </c>
      <c r="C163" s="5" t="str">
        <f>Planilha1!B9</f>
        <v>CPFL SANTA CRUZ</v>
      </c>
      <c r="D163" s="6">
        <v>310945.22720620281</v>
      </c>
    </row>
    <row r="164" spans="1:4" x14ac:dyDescent="0.25">
      <c r="A164" s="5" t="s">
        <v>25</v>
      </c>
      <c r="B164" s="5" t="str">
        <f>Planilha1!B24</f>
        <v>Canal Interno</v>
      </c>
      <c r="C164" s="5" t="str">
        <f>Planilha1!B10</f>
        <v>CPFL PIRATININGA</v>
      </c>
      <c r="D164" s="6">
        <v>1067282.9317475511</v>
      </c>
    </row>
    <row r="165" spans="1:4" x14ac:dyDescent="0.25">
      <c r="A165" s="5" t="s">
        <v>25</v>
      </c>
      <c r="B165" s="5" t="str">
        <f>Planilha1!B24</f>
        <v>Canal Interno</v>
      </c>
      <c r="C165" s="5" t="str">
        <f>Planilha1!B11</f>
        <v>CELPE</v>
      </c>
      <c r="D165" s="6">
        <v>1720680.12755604</v>
      </c>
    </row>
    <row r="166" spans="1:4" x14ac:dyDescent="0.25">
      <c r="A166" s="5" t="s">
        <v>25</v>
      </c>
      <c r="B166" s="5" t="str">
        <f>Planilha1!B24</f>
        <v>Canal Interno</v>
      </c>
      <c r="C166" s="5" t="str">
        <f>Planilha1!B12</f>
        <v>COELBA</v>
      </c>
      <c r="D166" s="6">
        <v>2108332.8600294879</v>
      </c>
    </row>
    <row r="167" spans="1:4" x14ac:dyDescent="0.25">
      <c r="A167" s="5" t="s">
        <v>25</v>
      </c>
      <c r="B167" s="5" t="str">
        <f>Planilha1!B24</f>
        <v>Canal Interno</v>
      </c>
      <c r="C167" s="5" t="str">
        <f>Planilha1!B13</f>
        <v>COSERN</v>
      </c>
      <c r="D167" s="6">
        <v>636716.83266477694</v>
      </c>
    </row>
    <row r="168" spans="1:4" x14ac:dyDescent="0.25">
      <c r="A168" s="5" t="s">
        <v>25</v>
      </c>
      <c r="B168" s="5" t="str">
        <f>Planilha1!B24</f>
        <v>Canal Interno</v>
      </c>
      <c r="C168" s="5" t="str">
        <f>Planilha1!B14</f>
        <v>ELEKTRO</v>
      </c>
      <c r="D168" s="6">
        <v>939195.94516457571</v>
      </c>
    </row>
    <row r="169" spans="1:4" x14ac:dyDescent="0.25">
      <c r="A169" s="5" t="s">
        <v>25</v>
      </c>
      <c r="B169" s="5" t="str">
        <f>Planilha1!B24</f>
        <v>Canal Interno</v>
      </c>
      <c r="C169" s="5" t="str">
        <f>Planilha1!B15</f>
        <v>COPEL</v>
      </c>
      <c r="D169" s="6">
        <v>0</v>
      </c>
    </row>
    <row r="170" spans="1:4" x14ac:dyDescent="0.25">
      <c r="A170" s="5" t="s">
        <v>25</v>
      </c>
      <c r="B170" s="5" t="str">
        <f>Planilha1!B25</f>
        <v>Canal Digital</v>
      </c>
      <c r="C170" s="5" t="str">
        <f>Planilha1!B4</f>
        <v>ENEL CE</v>
      </c>
      <c r="D170" s="6">
        <v>137785.09501970641</v>
      </c>
    </row>
    <row r="171" spans="1:4" x14ac:dyDescent="0.25">
      <c r="A171" s="5" t="s">
        <v>25</v>
      </c>
      <c r="B171" s="5" t="str">
        <f>Planilha1!B25</f>
        <v>Canal Digital</v>
      </c>
      <c r="C171" s="5" t="str">
        <f>Planilha1!B5</f>
        <v>ENEL RJ</v>
      </c>
      <c r="D171" s="6">
        <v>94071.500524779243</v>
      </c>
    </row>
    <row r="172" spans="1:4" x14ac:dyDescent="0.25">
      <c r="A172" s="5" t="s">
        <v>25</v>
      </c>
      <c r="B172" s="5" t="str">
        <f>Planilha1!B25</f>
        <v>Canal Digital</v>
      </c>
      <c r="C172" s="5" t="str">
        <f>Planilha1!B6</f>
        <v>ENEL SP</v>
      </c>
      <c r="D172" s="6">
        <v>356431.69124270888</v>
      </c>
    </row>
    <row r="173" spans="1:4" x14ac:dyDescent="0.25">
      <c r="A173" s="5" t="s">
        <v>25</v>
      </c>
      <c r="B173" s="5" t="str">
        <f>Planilha1!B25</f>
        <v>Canal Digital</v>
      </c>
      <c r="C173" s="5" t="str">
        <f>Planilha1!B7</f>
        <v>CPFL PAULISTA</v>
      </c>
      <c r="D173" s="6">
        <v>424884.90963009582</v>
      </c>
    </row>
    <row r="174" spans="1:4" x14ac:dyDescent="0.25">
      <c r="A174" s="5" t="s">
        <v>25</v>
      </c>
      <c r="B174" s="5" t="str">
        <f>Planilha1!B25</f>
        <v>Canal Digital</v>
      </c>
      <c r="C174" s="5" t="str">
        <f>Planilha1!B8</f>
        <v>RGE</v>
      </c>
      <c r="D174" s="6">
        <v>255171.25423373561</v>
      </c>
    </row>
    <row r="175" spans="1:4" x14ac:dyDescent="0.25">
      <c r="A175" s="5" t="s">
        <v>25</v>
      </c>
      <c r="B175" s="5" t="str">
        <f>Planilha1!B25</f>
        <v>Canal Digital</v>
      </c>
      <c r="C175" s="5" t="str">
        <f>Planilha1!B9</f>
        <v>CPFL SANTA CRUZ</v>
      </c>
      <c r="D175" s="6">
        <v>45302.335321942177</v>
      </c>
    </row>
    <row r="176" spans="1:4" x14ac:dyDescent="0.25">
      <c r="A176" s="5" t="s">
        <v>25</v>
      </c>
      <c r="B176" s="5" t="str">
        <f>Planilha1!B25</f>
        <v>Canal Digital</v>
      </c>
      <c r="C176" s="5" t="str">
        <f>Planilha1!B10</f>
        <v>CPFL PIRATININGA</v>
      </c>
      <c r="D176" s="6">
        <v>155494.93938798929</v>
      </c>
    </row>
    <row r="177" spans="1:4" x14ac:dyDescent="0.25">
      <c r="A177" s="5" t="s">
        <v>25</v>
      </c>
      <c r="B177" s="5" t="str">
        <f>Planilha1!B25</f>
        <v>Canal Digital</v>
      </c>
      <c r="C177" s="5" t="str">
        <f>Planilha1!B11</f>
        <v>CELPE</v>
      </c>
      <c r="D177" s="6">
        <v>250689.90066425101</v>
      </c>
    </row>
    <row r="178" spans="1:4" x14ac:dyDescent="0.25">
      <c r="A178" s="5" t="s">
        <v>25</v>
      </c>
      <c r="B178" s="5" t="str">
        <f>Planilha1!B25</f>
        <v>Canal Digital</v>
      </c>
      <c r="C178" s="5" t="str">
        <f>Planilha1!B12</f>
        <v>COELBA</v>
      </c>
      <c r="D178" s="6">
        <v>307167.93132182828</v>
      </c>
    </row>
    <row r="179" spans="1:4" x14ac:dyDescent="0.25">
      <c r="A179" s="5" t="s">
        <v>25</v>
      </c>
      <c r="B179" s="5" t="str">
        <f>Planilha1!B25</f>
        <v>Canal Digital</v>
      </c>
      <c r="C179" s="5" t="str">
        <f>Planilha1!B13</f>
        <v>COSERN</v>
      </c>
      <c r="D179" s="6">
        <v>92764.760268779777</v>
      </c>
    </row>
    <row r="180" spans="1:4" x14ac:dyDescent="0.25">
      <c r="A180" s="5" t="s">
        <v>25</v>
      </c>
      <c r="B180" s="5" t="str">
        <f>Planilha1!B25</f>
        <v>Canal Digital</v>
      </c>
      <c r="C180" s="5" t="str">
        <f>Planilha1!B14</f>
        <v>ELEKTRO</v>
      </c>
      <c r="D180" s="6">
        <v>136833.64759491399</v>
      </c>
    </row>
    <row r="181" spans="1:4" x14ac:dyDescent="0.25">
      <c r="A181" s="5" t="s">
        <v>25</v>
      </c>
      <c r="B181" s="5" t="str">
        <f>Planilha1!B25</f>
        <v>Canal Digital</v>
      </c>
      <c r="C181" s="5" t="str">
        <f>Planilha1!B15</f>
        <v>COPEL</v>
      </c>
      <c r="D181" s="6">
        <v>0</v>
      </c>
    </row>
    <row r="182" spans="1:4" x14ac:dyDescent="0.25">
      <c r="A182" s="5" t="s">
        <v>26</v>
      </c>
      <c r="B182" s="5" t="str">
        <f>Planilha1!B21</f>
        <v>Reallizi</v>
      </c>
      <c r="C182" s="5" t="str">
        <f>Planilha1!B4</f>
        <v>ENEL CE</v>
      </c>
      <c r="D182" s="6">
        <v>1283604.55975457</v>
      </c>
    </row>
    <row r="183" spans="1:4" x14ac:dyDescent="0.25">
      <c r="A183" s="5" t="s">
        <v>26</v>
      </c>
      <c r="B183" s="5" t="str">
        <f>Planilha1!B21</f>
        <v>Reallizi</v>
      </c>
      <c r="C183" s="5" t="str">
        <f>Planilha1!B5</f>
        <v>ENEL RJ</v>
      </c>
      <c r="D183" s="6">
        <v>876369.15298632858</v>
      </c>
    </row>
    <row r="184" spans="1:4" x14ac:dyDescent="0.25">
      <c r="A184" s="5" t="s">
        <v>26</v>
      </c>
      <c r="B184" s="5" t="str">
        <f>Planilha1!B21</f>
        <v>Reallizi</v>
      </c>
      <c r="C184" s="5" t="str">
        <f>Planilha1!B6</f>
        <v>ENEL SP</v>
      </c>
      <c r="D184" s="6">
        <v>3320514.0516449669</v>
      </c>
    </row>
    <row r="185" spans="1:4" x14ac:dyDescent="0.25">
      <c r="A185" s="5" t="s">
        <v>26</v>
      </c>
      <c r="B185" s="5" t="str">
        <f>Planilha1!B21</f>
        <v>Reallizi</v>
      </c>
      <c r="C185" s="5" t="str">
        <f>Planilha1!B7</f>
        <v>CPFL PAULISTA</v>
      </c>
      <c r="D185" s="6">
        <v>3964176.2046023249</v>
      </c>
    </row>
    <row r="186" spans="1:4" x14ac:dyDescent="0.25">
      <c r="A186" s="5" t="s">
        <v>26</v>
      </c>
      <c r="B186" s="5" t="str">
        <f>Planilha1!B21</f>
        <v>Reallizi</v>
      </c>
      <c r="C186" s="5" t="str">
        <f>Planilha1!B8</f>
        <v>RGE</v>
      </c>
      <c r="D186" s="6">
        <v>2380747.800651608</v>
      </c>
    </row>
    <row r="187" spans="1:4" x14ac:dyDescent="0.25">
      <c r="A187" s="5" t="s">
        <v>26</v>
      </c>
      <c r="B187" s="5" t="str">
        <f>Planilha1!B21</f>
        <v>Reallizi</v>
      </c>
      <c r="C187" s="5" t="str">
        <f>Planilha1!B9</f>
        <v>CPFL SANTA CRUZ</v>
      </c>
      <c r="D187" s="6">
        <v>422670.78831419779</v>
      </c>
    </row>
    <row r="188" spans="1:4" x14ac:dyDescent="0.25">
      <c r="A188" s="5" t="s">
        <v>26</v>
      </c>
      <c r="B188" s="5" t="str">
        <f>Planilha1!B21</f>
        <v>Reallizi</v>
      </c>
      <c r="C188" s="5" t="str">
        <f>Planilha1!B10</f>
        <v>CPFL PIRATININGA</v>
      </c>
      <c r="D188" s="6">
        <v>1450767.783667807</v>
      </c>
    </row>
    <row r="189" spans="1:4" x14ac:dyDescent="0.25">
      <c r="A189" s="5" t="s">
        <v>26</v>
      </c>
      <c r="B189" s="5" t="str">
        <f>Planilha1!B21</f>
        <v>Reallizi</v>
      </c>
      <c r="C189" s="5" t="str">
        <f>Planilha1!B11</f>
        <v>CELPE</v>
      </c>
      <c r="D189" s="6">
        <v>2325612.7354156808</v>
      </c>
    </row>
    <row r="190" spans="1:4" x14ac:dyDescent="0.25">
      <c r="A190" s="5" t="s">
        <v>26</v>
      </c>
      <c r="B190" s="5" t="str">
        <f>Planilha1!B21</f>
        <v>Reallizi</v>
      </c>
      <c r="C190" s="5" t="str">
        <f>Planilha1!B12</f>
        <v>COELBA</v>
      </c>
      <c r="D190" s="6">
        <v>2849550.983507975</v>
      </c>
    </row>
    <row r="191" spans="1:4" x14ac:dyDescent="0.25">
      <c r="A191" s="5" t="s">
        <v>26</v>
      </c>
      <c r="B191" s="5" t="str">
        <f>Planilha1!B21</f>
        <v>Reallizi</v>
      </c>
      <c r="C191" s="5" t="str">
        <f>Planilha1!B13</f>
        <v>COSERN</v>
      </c>
      <c r="D191" s="6">
        <v>860564.81456662645</v>
      </c>
    </row>
    <row r="192" spans="1:4" x14ac:dyDescent="0.25">
      <c r="A192" s="5" t="s">
        <v>26</v>
      </c>
      <c r="B192" s="5" t="str">
        <f>Planilha1!B21</f>
        <v>Reallizi</v>
      </c>
      <c r="C192" s="5" t="str">
        <f>Planilha1!B14</f>
        <v>ELEKTRO</v>
      </c>
      <c r="D192" s="6">
        <v>1269385.294887916</v>
      </c>
    </row>
    <row r="193" spans="1:4" x14ac:dyDescent="0.25">
      <c r="A193" s="5" t="s">
        <v>26</v>
      </c>
      <c r="B193" s="5" t="str">
        <f>Planilha1!B21</f>
        <v>Reallizi</v>
      </c>
      <c r="C193" s="5" t="str">
        <f>Planilha1!B15</f>
        <v>COPEL</v>
      </c>
      <c r="D193" s="6">
        <v>0</v>
      </c>
    </row>
    <row r="194" spans="1:4" x14ac:dyDescent="0.25">
      <c r="A194" s="5" t="s">
        <v>26</v>
      </c>
      <c r="B194" s="5" t="str">
        <f>Planilha1!B22</f>
        <v>Corban</v>
      </c>
      <c r="C194" s="5" t="str">
        <f>Planilha1!B4</f>
        <v>ENEL CE</v>
      </c>
      <c r="D194" s="6">
        <v>2538021.822914849</v>
      </c>
    </row>
    <row r="195" spans="1:4" x14ac:dyDescent="0.25">
      <c r="A195" s="5" t="s">
        <v>26</v>
      </c>
      <c r="B195" s="5" t="str">
        <f>Planilha1!B22</f>
        <v>Corban</v>
      </c>
      <c r="C195" s="5" t="str">
        <f>Planilha1!B5</f>
        <v>ENEL RJ</v>
      </c>
      <c r="D195" s="6">
        <v>1732810.948906248</v>
      </c>
    </row>
    <row r="196" spans="1:4" x14ac:dyDescent="0.25">
      <c r="A196" s="5" t="s">
        <v>26</v>
      </c>
      <c r="B196" s="5" t="str">
        <f>Planilha1!B22</f>
        <v>Corban</v>
      </c>
      <c r="C196" s="5" t="str">
        <f>Planilha1!B6</f>
        <v>ENEL SP</v>
      </c>
      <c r="D196" s="6">
        <v>6565524.4540278884</v>
      </c>
    </row>
    <row r="197" spans="1:4" x14ac:dyDescent="0.25">
      <c r="A197" s="5" t="s">
        <v>26</v>
      </c>
      <c r="B197" s="5" t="str">
        <f>Planilha1!B22</f>
        <v>Corban</v>
      </c>
      <c r="C197" s="5" t="str">
        <f>Planilha1!B7</f>
        <v>CPFL PAULISTA</v>
      </c>
      <c r="D197" s="6">
        <v>7838212.8208427317</v>
      </c>
    </row>
    <row r="198" spans="1:4" x14ac:dyDescent="0.25">
      <c r="A198" s="5" t="s">
        <v>26</v>
      </c>
      <c r="B198" s="5" t="str">
        <f>Planilha1!B22</f>
        <v>Corban</v>
      </c>
      <c r="C198" s="5" t="str">
        <f>Planilha1!B8</f>
        <v>RGE</v>
      </c>
      <c r="D198" s="6">
        <v>4707360.8667030912</v>
      </c>
    </row>
    <row r="199" spans="1:4" x14ac:dyDescent="0.25">
      <c r="A199" s="5" t="s">
        <v>26</v>
      </c>
      <c r="B199" s="5" t="str">
        <f>Planilha1!B22</f>
        <v>Corban</v>
      </c>
      <c r="C199" s="5" t="str">
        <f>Planilha1!B9</f>
        <v>CPFL SANTA CRUZ</v>
      </c>
      <c r="D199" s="6">
        <v>835730.65902412334</v>
      </c>
    </row>
    <row r="200" spans="1:4" x14ac:dyDescent="0.25">
      <c r="A200" s="5" t="s">
        <v>26</v>
      </c>
      <c r="B200" s="5" t="str">
        <f>Planilha1!B22</f>
        <v>Corban</v>
      </c>
      <c r="C200" s="5" t="str">
        <f>Planilha1!B10</f>
        <v>CPFL PIRATININGA</v>
      </c>
      <c r="D200" s="6">
        <v>2868547.222701306</v>
      </c>
    </row>
    <row r="201" spans="1:4" x14ac:dyDescent="0.25">
      <c r="A201" s="5" t="s">
        <v>26</v>
      </c>
      <c r="B201" s="5" t="str">
        <f>Planilha1!B22</f>
        <v>Corban</v>
      </c>
      <c r="C201" s="5" t="str">
        <f>Planilha1!B11</f>
        <v>CELPE</v>
      </c>
      <c r="D201" s="6">
        <v>4598344.4272449976</v>
      </c>
    </row>
    <row r="202" spans="1:4" x14ac:dyDescent="0.25">
      <c r="A202" s="5" t="s">
        <v>26</v>
      </c>
      <c r="B202" s="5" t="str">
        <f>Planilha1!B22</f>
        <v>Corban</v>
      </c>
      <c r="C202" s="5" t="str">
        <f>Planilha1!B12</f>
        <v>COELBA</v>
      </c>
      <c r="D202" s="6">
        <v>5634307.331406286</v>
      </c>
    </row>
    <row r="203" spans="1:4" x14ac:dyDescent="0.25">
      <c r="A203" s="5" t="s">
        <v>26</v>
      </c>
      <c r="B203" s="5" t="str">
        <f>Planilha1!B22</f>
        <v>Corban</v>
      </c>
      <c r="C203" s="5" t="str">
        <f>Planilha1!B13</f>
        <v>COSERN</v>
      </c>
      <c r="D203" s="6">
        <v>1701561.639684719</v>
      </c>
    </row>
    <row r="204" spans="1:4" x14ac:dyDescent="0.25">
      <c r="A204" s="5" t="s">
        <v>26</v>
      </c>
      <c r="B204" s="5" t="str">
        <f>Planilha1!B22</f>
        <v>Corban</v>
      </c>
      <c r="C204" s="5" t="str">
        <f>Planilha1!B14</f>
        <v>ELEKTRO</v>
      </c>
      <c r="D204" s="6">
        <v>2509906.6185373631</v>
      </c>
    </row>
    <row r="205" spans="1:4" x14ac:dyDescent="0.25">
      <c r="A205" s="5" t="s">
        <v>26</v>
      </c>
      <c r="B205" s="5" t="str">
        <f>Planilha1!B22</f>
        <v>Corban</v>
      </c>
      <c r="C205" s="5" t="str">
        <f>Planilha1!B15</f>
        <v>COPEL</v>
      </c>
      <c r="D205" s="6">
        <v>0</v>
      </c>
    </row>
    <row r="206" spans="1:4" x14ac:dyDescent="0.25">
      <c r="A206" s="5" t="s">
        <v>26</v>
      </c>
      <c r="B206" s="5" t="str">
        <f>Planilha1!B23</f>
        <v>Lojas</v>
      </c>
      <c r="C206" s="5" t="str">
        <f>Planilha1!B4</f>
        <v>ENEL CE</v>
      </c>
      <c r="D206" s="6">
        <v>1238624.043873382</v>
      </c>
    </row>
    <row r="207" spans="1:4" x14ac:dyDescent="0.25">
      <c r="A207" s="5" t="s">
        <v>26</v>
      </c>
      <c r="B207" s="5" t="str">
        <f>Planilha1!B23</f>
        <v>Lojas</v>
      </c>
      <c r="C207" s="5" t="str">
        <f>Planilha1!B5</f>
        <v>ENEL RJ</v>
      </c>
      <c r="D207" s="6">
        <v>845659.12137719977</v>
      </c>
    </row>
    <row r="208" spans="1:4" x14ac:dyDescent="0.25">
      <c r="A208" s="5" t="s">
        <v>26</v>
      </c>
      <c r="B208" s="5" t="str">
        <f>Planilha1!B23</f>
        <v>Lojas</v>
      </c>
      <c r="C208" s="5" t="str">
        <f>Planilha1!B6</f>
        <v>ENEL SP</v>
      </c>
      <c r="D208" s="6">
        <v>3204155.4473546539</v>
      </c>
    </row>
    <row r="209" spans="1:4" x14ac:dyDescent="0.25">
      <c r="A209" s="5" t="s">
        <v>26</v>
      </c>
      <c r="B209" s="5" t="str">
        <f>Planilha1!B23</f>
        <v>Lojas</v>
      </c>
      <c r="C209" s="5" t="str">
        <f>Planilha1!B7</f>
        <v>CPFL PAULISTA</v>
      </c>
      <c r="D209" s="6">
        <v>3825262.1680543129</v>
      </c>
    </row>
    <row r="210" spans="1:4" x14ac:dyDescent="0.25">
      <c r="A210" s="5" t="s">
        <v>26</v>
      </c>
      <c r="B210" s="5" t="str">
        <f>Planilha1!B23</f>
        <v>Lojas</v>
      </c>
      <c r="C210" s="5" t="str">
        <f>Planilha1!B8</f>
        <v>RGE</v>
      </c>
      <c r="D210" s="6">
        <v>2297320.811052266</v>
      </c>
    </row>
    <row r="211" spans="1:4" x14ac:dyDescent="0.25">
      <c r="A211" s="5" t="s">
        <v>26</v>
      </c>
      <c r="B211" s="5" t="str">
        <f>Planilha1!B23</f>
        <v>Lojas</v>
      </c>
      <c r="C211" s="5" t="str">
        <f>Planilha1!B9</f>
        <v>CPFL SANTA CRUZ</v>
      </c>
      <c r="D211" s="6">
        <v>407859.41205209092</v>
      </c>
    </row>
    <row r="212" spans="1:4" x14ac:dyDescent="0.25">
      <c r="A212" s="5" t="s">
        <v>26</v>
      </c>
      <c r="B212" s="5" t="str">
        <f>Planilha1!B23</f>
        <v>Lojas</v>
      </c>
      <c r="C212" s="5" t="str">
        <f>Planilha1!B10</f>
        <v>CPFL PIRATININGA</v>
      </c>
      <c r="D212" s="6">
        <v>1399929.4761553579</v>
      </c>
    </row>
    <row r="213" spans="1:4" x14ac:dyDescent="0.25">
      <c r="A213" s="5" t="s">
        <v>26</v>
      </c>
      <c r="B213" s="5" t="str">
        <f>Planilha1!B23</f>
        <v>Lojas</v>
      </c>
      <c r="C213" s="5" t="str">
        <f>Planilha1!B11</f>
        <v>CELPE</v>
      </c>
      <c r="D213" s="6">
        <v>2244117.8078821902</v>
      </c>
    </row>
    <row r="214" spans="1:4" x14ac:dyDescent="0.25">
      <c r="A214" s="5" t="s">
        <v>26</v>
      </c>
      <c r="B214" s="5" t="str">
        <f>Planilha1!B23</f>
        <v>Lojas</v>
      </c>
      <c r="C214" s="5" t="str">
        <f>Planilha1!B12</f>
        <v>COELBA</v>
      </c>
      <c r="D214" s="6">
        <v>2749696.0302874581</v>
      </c>
    </row>
    <row r="215" spans="1:4" x14ac:dyDescent="0.25">
      <c r="A215" s="5" t="s">
        <v>26</v>
      </c>
      <c r="B215" s="5" t="str">
        <f>Planilha1!B23</f>
        <v>Lojas</v>
      </c>
      <c r="C215" s="5" t="str">
        <f>Planilha1!B13</f>
        <v>COSERN</v>
      </c>
      <c r="D215" s="6">
        <v>830408.60406219587</v>
      </c>
    </row>
    <row r="216" spans="1:4" x14ac:dyDescent="0.25">
      <c r="A216" s="5" t="s">
        <v>26</v>
      </c>
      <c r="B216" s="5" t="str">
        <f>Planilha1!B23</f>
        <v>Lojas</v>
      </c>
      <c r="C216" s="5" t="str">
        <f>Planilha1!B14</f>
        <v>ELEKTRO</v>
      </c>
      <c r="D216" s="6">
        <v>1224903.0554145931</v>
      </c>
    </row>
    <row r="217" spans="1:4" x14ac:dyDescent="0.25">
      <c r="A217" s="5" t="s">
        <v>26</v>
      </c>
      <c r="B217" s="5" t="str">
        <f>Planilha1!B23</f>
        <v>Lojas</v>
      </c>
      <c r="C217" s="5" t="str">
        <f>Planilha1!B15</f>
        <v>COPEL</v>
      </c>
      <c r="D217" s="6">
        <v>0</v>
      </c>
    </row>
    <row r="218" spans="1:4" x14ac:dyDescent="0.25">
      <c r="A218" s="5" t="s">
        <v>26</v>
      </c>
      <c r="B218" s="5" t="str">
        <f>Planilha1!B24</f>
        <v>Canal Interno</v>
      </c>
      <c r="C218" s="5" t="str">
        <f>Planilha1!B4</f>
        <v>ENEL CE</v>
      </c>
      <c r="D218" s="6">
        <v>874601.13575611112</v>
      </c>
    </row>
    <row r="219" spans="1:4" x14ac:dyDescent="0.25">
      <c r="A219" s="5" t="s">
        <v>26</v>
      </c>
      <c r="B219" s="5" t="str">
        <f>Planilha1!B24</f>
        <v>Canal Interno</v>
      </c>
      <c r="C219" s="5" t="str">
        <f>Planilha1!B5</f>
        <v>ENEL RJ</v>
      </c>
      <c r="D219" s="6">
        <v>597125.84434104583</v>
      </c>
    </row>
    <row r="220" spans="1:4" x14ac:dyDescent="0.25">
      <c r="A220" s="5" t="s">
        <v>26</v>
      </c>
      <c r="B220" s="5" t="str">
        <f>Planilha1!B24</f>
        <v>Canal Interno</v>
      </c>
      <c r="C220" s="5" t="str">
        <f>Planilha1!B6</f>
        <v>ENEL SP</v>
      </c>
      <c r="D220" s="6">
        <v>2262476.6629203111</v>
      </c>
    </row>
    <row r="221" spans="1:4" x14ac:dyDescent="0.25">
      <c r="A221" s="5" t="s">
        <v>26</v>
      </c>
      <c r="B221" s="5" t="str">
        <f>Planilha1!B24</f>
        <v>Canal Interno</v>
      </c>
      <c r="C221" s="5" t="str">
        <f>Planilha1!B7</f>
        <v>CPFL PAULISTA</v>
      </c>
      <c r="D221" s="6">
        <v>2701044.4801983731</v>
      </c>
    </row>
    <row r="222" spans="1:4" x14ac:dyDescent="0.25">
      <c r="A222" s="5" t="s">
        <v>26</v>
      </c>
      <c r="B222" s="5" t="str">
        <f>Planilha1!B24</f>
        <v>Canal Interno</v>
      </c>
      <c r="C222" s="5" t="str">
        <f>Planilha1!B8</f>
        <v>RGE</v>
      </c>
      <c r="D222" s="6">
        <v>1622154.3578786331</v>
      </c>
    </row>
    <row r="223" spans="1:4" x14ac:dyDescent="0.25">
      <c r="A223" s="5" t="s">
        <v>26</v>
      </c>
      <c r="B223" s="5" t="str">
        <f>Planilha1!B24</f>
        <v>Canal Interno</v>
      </c>
      <c r="C223" s="5" t="str">
        <f>Planilha1!B9</f>
        <v>CPFL SANTA CRUZ</v>
      </c>
      <c r="D223" s="6">
        <v>287992.3950887259</v>
      </c>
    </row>
    <row r="224" spans="1:4" x14ac:dyDescent="0.25">
      <c r="A224" s="5" t="s">
        <v>26</v>
      </c>
      <c r="B224" s="5" t="str">
        <f>Planilha1!B24</f>
        <v>Canal Interno</v>
      </c>
      <c r="C224" s="5" t="str">
        <f>Planilha1!B10</f>
        <v>CPFL PIRATININGA</v>
      </c>
      <c r="D224" s="6">
        <v>988500.03427601419</v>
      </c>
    </row>
    <row r="225" spans="1:4" x14ac:dyDescent="0.25">
      <c r="A225" s="5" t="s">
        <v>26</v>
      </c>
      <c r="B225" s="5" t="str">
        <f>Planilha1!B24</f>
        <v>Canal Interno</v>
      </c>
      <c r="C225" s="5" t="str">
        <f>Planilha1!B11</f>
        <v>CELPE</v>
      </c>
      <c r="D225" s="6">
        <v>1584587.343716149</v>
      </c>
    </row>
    <row r="226" spans="1:4" x14ac:dyDescent="0.25">
      <c r="A226" s="5" t="s">
        <v>26</v>
      </c>
      <c r="B226" s="5" t="str">
        <f>Planilha1!B24</f>
        <v>Canal Interno</v>
      </c>
      <c r="C226" s="5" t="str">
        <f>Planilha1!B12</f>
        <v>COELBA</v>
      </c>
      <c r="D226" s="6">
        <v>1941579.677036626</v>
      </c>
    </row>
    <row r="227" spans="1:4" x14ac:dyDescent="0.25">
      <c r="A227" s="5" t="s">
        <v>26</v>
      </c>
      <c r="B227" s="5" t="str">
        <f>Planilha1!B24</f>
        <v>Canal Interno</v>
      </c>
      <c r="C227" s="5" t="str">
        <f>Planilha1!B13</f>
        <v>COSERN</v>
      </c>
      <c r="D227" s="6">
        <v>586357.34696644288</v>
      </c>
    </row>
    <row r="228" spans="1:4" x14ac:dyDescent="0.25">
      <c r="A228" s="5" t="s">
        <v>26</v>
      </c>
      <c r="B228" s="5" t="str">
        <f>Planilha1!B24</f>
        <v>Canal Interno</v>
      </c>
      <c r="C228" s="5" t="str">
        <f>Planilha1!B14</f>
        <v>ELEKTRO</v>
      </c>
      <c r="D228" s="6">
        <v>864912.64944817056</v>
      </c>
    </row>
    <row r="229" spans="1:4" x14ac:dyDescent="0.25">
      <c r="A229" s="5" t="s">
        <v>26</v>
      </c>
      <c r="B229" s="5" t="str">
        <f>Planilha1!B24</f>
        <v>Canal Interno</v>
      </c>
      <c r="C229" s="5" t="str">
        <f>Planilha1!B15</f>
        <v>COPEL</v>
      </c>
      <c r="D229" s="6">
        <v>0</v>
      </c>
    </row>
    <row r="230" spans="1:4" x14ac:dyDescent="0.25">
      <c r="A230" s="5" t="s">
        <v>26</v>
      </c>
      <c r="B230" s="5" t="str">
        <f>Planilha1!B25</f>
        <v>Canal Digital</v>
      </c>
      <c r="C230" s="5" t="str">
        <f>Planilha1!B4</f>
        <v>ENEL CE</v>
      </c>
      <c r="D230" s="6">
        <v>129890.812168007</v>
      </c>
    </row>
    <row r="231" spans="1:4" x14ac:dyDescent="0.25">
      <c r="A231" s="5" t="s">
        <v>26</v>
      </c>
      <c r="B231" s="5" t="str">
        <f>Planilha1!B25</f>
        <v>Canal Digital</v>
      </c>
      <c r="C231" s="5" t="str">
        <f>Planilha1!B5</f>
        <v>ENEL RJ</v>
      </c>
      <c r="D231" s="6">
        <v>88681.751848986707</v>
      </c>
    </row>
    <row r="232" spans="1:4" x14ac:dyDescent="0.25">
      <c r="A232" s="5" t="s">
        <v>26</v>
      </c>
      <c r="B232" s="5" t="str">
        <f>Planilha1!B25</f>
        <v>Canal Digital</v>
      </c>
      <c r="C232" s="5" t="str">
        <f>Planilha1!B6</f>
        <v>ENEL SP</v>
      </c>
      <c r="D232" s="6">
        <v>336010.23282895738</v>
      </c>
    </row>
    <row r="233" spans="1:4" x14ac:dyDescent="0.25">
      <c r="A233" s="5" t="s">
        <v>26</v>
      </c>
      <c r="B233" s="5" t="str">
        <f>Planilha1!B25</f>
        <v>Canal Digital</v>
      </c>
      <c r="C233" s="5" t="str">
        <f>Planilha1!B7</f>
        <v>CPFL PAULISTA</v>
      </c>
      <c r="D233" s="6">
        <v>401143.84362372191</v>
      </c>
    </row>
    <row r="234" spans="1:4" x14ac:dyDescent="0.25">
      <c r="A234" s="5" t="s">
        <v>26</v>
      </c>
      <c r="B234" s="5" t="str">
        <f>Planilha1!B25</f>
        <v>Canal Digital</v>
      </c>
      <c r="C234" s="5" t="str">
        <f>Planilha1!B8</f>
        <v>RGE</v>
      </c>
      <c r="D234" s="6">
        <v>240913.1870433377</v>
      </c>
    </row>
    <row r="235" spans="1:4" x14ac:dyDescent="0.25">
      <c r="A235" s="5" t="s">
        <v>26</v>
      </c>
      <c r="B235" s="5" t="str">
        <f>Planilha1!B25</f>
        <v>Canal Digital</v>
      </c>
      <c r="C235" s="5" t="str">
        <f>Planilha1!B9</f>
        <v>CPFL SANTA CRUZ</v>
      </c>
      <c r="D235" s="6">
        <v>42771.0010506041</v>
      </c>
    </row>
    <row r="236" spans="1:4" x14ac:dyDescent="0.25">
      <c r="A236" s="5" t="s">
        <v>26</v>
      </c>
      <c r="B236" s="5" t="str">
        <f>Planilha1!B25</f>
        <v>Canal Digital</v>
      </c>
      <c r="C236" s="5" t="str">
        <f>Planilha1!B10</f>
        <v>CPFL PIRATININGA</v>
      </c>
      <c r="D236" s="6">
        <v>146806.43213344589</v>
      </c>
    </row>
    <row r="237" spans="1:4" x14ac:dyDescent="0.25">
      <c r="A237" s="5" t="s">
        <v>26</v>
      </c>
      <c r="B237" s="5" t="str">
        <f>Planilha1!B25</f>
        <v>Canal Digital</v>
      </c>
      <c r="C237" s="5" t="str">
        <f>Planilha1!B11</f>
        <v>CELPE</v>
      </c>
      <c r="D237" s="6">
        <v>235333.9466550051</v>
      </c>
    </row>
    <row r="238" spans="1:4" x14ac:dyDescent="0.25">
      <c r="A238" s="5" t="s">
        <v>26</v>
      </c>
      <c r="B238" s="5" t="str">
        <f>Planilha1!B25</f>
        <v>Canal Digital</v>
      </c>
      <c r="C238" s="5" t="str">
        <f>Planilha1!B12</f>
        <v>COELBA</v>
      </c>
      <c r="D238" s="6">
        <v>288352.42812846071</v>
      </c>
    </row>
    <row r="239" spans="1:4" x14ac:dyDescent="0.25">
      <c r="A239" s="5" t="s">
        <v>26</v>
      </c>
      <c r="B239" s="5" t="str">
        <f>Planilha1!B25</f>
        <v>Canal Digital</v>
      </c>
      <c r="C239" s="5" t="str">
        <f>Planilha1!B13</f>
        <v>COSERN</v>
      </c>
      <c r="D239" s="6">
        <v>87082.475547330658</v>
      </c>
    </row>
    <row r="240" spans="1:4" x14ac:dyDescent="0.25">
      <c r="A240" s="5" t="s">
        <v>26</v>
      </c>
      <c r="B240" s="5" t="str">
        <f>Planilha1!B25</f>
        <v>Canal Digital</v>
      </c>
      <c r="C240" s="5" t="str">
        <f>Planilha1!B14</f>
        <v>ELEKTRO</v>
      </c>
      <c r="D240" s="6">
        <v>128451.9329992428</v>
      </c>
    </row>
    <row r="241" spans="1:4" x14ac:dyDescent="0.25">
      <c r="A241" s="5" t="s">
        <v>26</v>
      </c>
      <c r="B241" s="5" t="str">
        <f>Planilha1!B25</f>
        <v>Canal Digital</v>
      </c>
      <c r="C241" s="5" t="str">
        <f>Planilha1!B15</f>
        <v>COPEL</v>
      </c>
      <c r="D241" s="6">
        <v>0</v>
      </c>
    </row>
    <row r="242" spans="1:4" x14ac:dyDescent="0.25">
      <c r="A242" s="5" t="s">
        <v>27</v>
      </c>
      <c r="B242" s="5" t="str">
        <f>Planilha1!B21</f>
        <v>Reallizi</v>
      </c>
      <c r="C242" s="5" t="str">
        <f>Planilha1!B4</f>
        <v>ENEL CE</v>
      </c>
      <c r="D242" s="6">
        <v>1298499.644994657</v>
      </c>
    </row>
    <row r="243" spans="1:4" x14ac:dyDescent="0.25">
      <c r="A243" s="5" t="s">
        <v>27</v>
      </c>
      <c r="B243" s="5" t="str">
        <f>Planilha1!B21</f>
        <v>Reallizi</v>
      </c>
      <c r="C243" s="5" t="str">
        <f>Planilha1!B5</f>
        <v>ENEL RJ</v>
      </c>
      <c r="D243" s="6">
        <v>886538.63480712462</v>
      </c>
    </row>
    <row r="244" spans="1:4" x14ac:dyDescent="0.25">
      <c r="A244" s="5" t="s">
        <v>27</v>
      </c>
      <c r="B244" s="5" t="str">
        <f>Planilha1!B21</f>
        <v>Reallizi</v>
      </c>
      <c r="C244" s="5" t="str">
        <f>Planilha1!B6</f>
        <v>ENEL SP</v>
      </c>
      <c r="D244" s="6">
        <v>3359045.6535034352</v>
      </c>
    </row>
    <row r="245" spans="1:4" x14ac:dyDescent="0.25">
      <c r="A245" s="5" t="s">
        <v>27</v>
      </c>
      <c r="B245" s="5" t="str">
        <f>Planilha1!B21</f>
        <v>Reallizi</v>
      </c>
      <c r="C245" s="5" t="str">
        <f>Planilha1!B7</f>
        <v>CPFL PAULISTA</v>
      </c>
      <c r="D245" s="6">
        <v>4011916.1428408902</v>
      </c>
    </row>
    <row r="246" spans="1:4" x14ac:dyDescent="0.25">
      <c r="A246" s="5" t="s">
        <v>27</v>
      </c>
      <c r="B246" s="5" t="str">
        <f>Planilha1!B21</f>
        <v>Reallizi</v>
      </c>
      <c r="C246" s="5" t="str">
        <f>Planilha1!B8</f>
        <v>RGE</v>
      </c>
      <c r="D246" s="6">
        <v>2409418.7645791718</v>
      </c>
    </row>
    <row r="247" spans="1:4" x14ac:dyDescent="0.25">
      <c r="A247" s="5" t="s">
        <v>27</v>
      </c>
      <c r="B247" s="5" t="str">
        <f>Planilha1!B21</f>
        <v>Reallizi</v>
      </c>
      <c r="C247" s="5" t="str">
        <f>Planilha1!B9</f>
        <v>CPFL SANTA CRUZ</v>
      </c>
      <c r="D247" s="6">
        <v>427760.94482790999</v>
      </c>
    </row>
    <row r="248" spans="1:4" x14ac:dyDescent="0.25">
      <c r="A248" s="5" t="s">
        <v>27</v>
      </c>
      <c r="B248" s="5" t="str">
        <f>Planilha1!B21</f>
        <v>Reallizi</v>
      </c>
      <c r="C248" s="5" t="str">
        <f>Planilha1!B10</f>
        <v>CPFL PIRATININGA</v>
      </c>
      <c r="D248" s="6">
        <v>1468239.147405467</v>
      </c>
    </row>
    <row r="249" spans="1:4" x14ac:dyDescent="0.25">
      <c r="A249" s="5" t="s">
        <v>27</v>
      </c>
      <c r="B249" s="5" t="str">
        <f>Planilha1!B21</f>
        <v>Reallizi</v>
      </c>
      <c r="C249" s="5" t="str">
        <f>Planilha1!B11</f>
        <v>CELPE</v>
      </c>
      <c r="D249" s="6">
        <v>2372432.0847416972</v>
      </c>
    </row>
    <row r="250" spans="1:4" x14ac:dyDescent="0.25">
      <c r="A250" s="5" t="s">
        <v>27</v>
      </c>
      <c r="B250" s="5" t="str">
        <f>Planilha1!B21</f>
        <v>Reallizi</v>
      </c>
      <c r="C250" s="5" t="str">
        <f>Planilha1!B12</f>
        <v>COELBA</v>
      </c>
      <c r="D250" s="6">
        <v>2906918.283268346</v>
      </c>
    </row>
    <row r="251" spans="1:4" x14ac:dyDescent="0.25">
      <c r="A251" s="5" t="s">
        <v>27</v>
      </c>
      <c r="B251" s="5" t="str">
        <f>Planilha1!B21</f>
        <v>Reallizi</v>
      </c>
      <c r="C251" s="5" t="str">
        <f>Planilha1!B13</f>
        <v>COSERN</v>
      </c>
      <c r="D251" s="6">
        <v>877889.74750033976</v>
      </c>
    </row>
    <row r="252" spans="1:4" x14ac:dyDescent="0.25">
      <c r="A252" s="5" t="s">
        <v>27</v>
      </c>
      <c r="B252" s="5" t="str">
        <f>Planilha1!B21</f>
        <v>Reallizi</v>
      </c>
      <c r="C252" s="5" t="str">
        <f>Planilha1!B14</f>
        <v>ELEKTRO</v>
      </c>
      <c r="D252" s="6">
        <v>1294940.6217252701</v>
      </c>
    </row>
    <row r="253" spans="1:4" x14ac:dyDescent="0.25">
      <c r="A253" s="5" t="s">
        <v>27</v>
      </c>
      <c r="B253" s="5" t="str">
        <f>Planilha1!B21</f>
        <v>Reallizi</v>
      </c>
      <c r="C253" s="5" t="str">
        <f>Planilha1!B15</f>
        <v>COPEL</v>
      </c>
      <c r="D253" s="6">
        <v>0</v>
      </c>
    </row>
    <row r="254" spans="1:4" x14ac:dyDescent="0.25">
      <c r="A254" s="5" t="s">
        <v>27</v>
      </c>
      <c r="B254" s="5" t="str">
        <f>Planilha1!B22</f>
        <v>Corban</v>
      </c>
      <c r="C254" s="5" t="str">
        <f>Planilha1!B4</f>
        <v>ENEL CE</v>
      </c>
      <c r="D254" s="6">
        <v>2581144.0373485582</v>
      </c>
    </row>
    <row r="255" spans="1:4" x14ac:dyDescent="0.25">
      <c r="A255" s="5" t="s">
        <v>27</v>
      </c>
      <c r="B255" s="5" t="str">
        <f>Planilha1!B22</f>
        <v>Corban</v>
      </c>
      <c r="C255" s="5" t="str">
        <f>Planilha1!B5</f>
        <v>ENEL RJ</v>
      </c>
      <c r="D255" s="6">
        <v>1762252.242372354</v>
      </c>
    </row>
    <row r="256" spans="1:4" x14ac:dyDescent="0.25">
      <c r="A256" s="5" t="s">
        <v>27</v>
      </c>
      <c r="B256" s="5" t="str">
        <f>Planilha1!B22</f>
        <v>Corban</v>
      </c>
      <c r="C256" s="5" t="str">
        <f>Planilha1!B6</f>
        <v>ENEL SP</v>
      </c>
      <c r="D256" s="6">
        <v>6677075.8799534785</v>
      </c>
    </row>
    <row r="257" spans="1:4" x14ac:dyDescent="0.25">
      <c r="A257" s="5" t="s">
        <v>27</v>
      </c>
      <c r="B257" s="5" t="str">
        <f>Planilha1!B22</f>
        <v>Corban</v>
      </c>
      <c r="C257" s="5" t="str">
        <f>Planilha1!B7</f>
        <v>CPFL PAULISTA</v>
      </c>
      <c r="D257" s="6">
        <v>7974845.0223710267</v>
      </c>
    </row>
    <row r="258" spans="1:4" x14ac:dyDescent="0.25">
      <c r="A258" s="5" t="s">
        <v>27</v>
      </c>
      <c r="B258" s="5" t="str">
        <f>Planilha1!B22</f>
        <v>Corban</v>
      </c>
      <c r="C258" s="5" t="str">
        <f>Planilha1!B8</f>
        <v>RGE</v>
      </c>
      <c r="D258" s="6">
        <v>4789417.4647193272</v>
      </c>
    </row>
    <row r="259" spans="1:4" x14ac:dyDescent="0.25">
      <c r="A259" s="5" t="s">
        <v>27</v>
      </c>
      <c r="B259" s="5" t="str">
        <f>Planilha1!B22</f>
        <v>Corban</v>
      </c>
      <c r="C259" s="5" t="str">
        <f>Planilha1!B9</f>
        <v>CPFL SANTA CRUZ</v>
      </c>
      <c r="D259" s="6">
        <v>850298.74009529536</v>
      </c>
    </row>
    <row r="260" spans="1:4" x14ac:dyDescent="0.25">
      <c r="A260" s="5" t="s">
        <v>27</v>
      </c>
      <c r="B260" s="5" t="str">
        <f>Planilha1!B22</f>
        <v>Corban</v>
      </c>
      <c r="C260" s="5" t="str">
        <f>Planilha1!B10</f>
        <v>CPFL PIRATININGA</v>
      </c>
      <c r="D260" s="6">
        <v>2918550.4480772819</v>
      </c>
    </row>
    <row r="261" spans="1:4" x14ac:dyDescent="0.25">
      <c r="A261" s="5" t="s">
        <v>27</v>
      </c>
      <c r="B261" s="5" t="str">
        <f>Planilha1!B22</f>
        <v>Corban</v>
      </c>
      <c r="C261" s="5" t="str">
        <f>Planilha1!B11</f>
        <v>CELPE</v>
      </c>
      <c r="D261" s="6">
        <v>4715895.7286974341</v>
      </c>
    </row>
    <row r="262" spans="1:4" x14ac:dyDescent="0.25">
      <c r="A262" s="5" t="s">
        <v>27</v>
      </c>
      <c r="B262" s="5" t="str">
        <f>Planilha1!B22</f>
        <v>Corban</v>
      </c>
      <c r="C262" s="5" t="str">
        <f>Planilha1!B12</f>
        <v>COELBA</v>
      </c>
      <c r="D262" s="6">
        <v>5778341.8138311999</v>
      </c>
    </row>
    <row r="263" spans="1:4" x14ac:dyDescent="0.25">
      <c r="A263" s="5" t="s">
        <v>27</v>
      </c>
      <c r="B263" s="5" t="str">
        <f>Planilha1!B22</f>
        <v>Corban</v>
      </c>
      <c r="C263" s="5" t="str">
        <f>Planilha1!B13</f>
        <v>COSERN</v>
      </c>
      <c r="D263" s="6">
        <v>1745060.0744825429</v>
      </c>
    </row>
    <row r="264" spans="1:4" x14ac:dyDescent="0.25">
      <c r="A264" s="5" t="s">
        <v>27</v>
      </c>
      <c r="B264" s="5" t="str">
        <f>Planilha1!B22</f>
        <v>Corban</v>
      </c>
      <c r="C264" s="5" t="str">
        <f>Planilha1!B14</f>
        <v>ELEKTRO</v>
      </c>
      <c r="D264" s="6">
        <v>2574069.4480516152</v>
      </c>
    </row>
    <row r="265" spans="1:4" x14ac:dyDescent="0.25">
      <c r="A265" s="5" t="s">
        <v>27</v>
      </c>
      <c r="B265" s="5" t="str">
        <f>Planilha1!B22</f>
        <v>Corban</v>
      </c>
      <c r="C265" s="5" t="str">
        <f>Planilha1!B15</f>
        <v>COPEL</v>
      </c>
      <c r="D265" s="6">
        <v>0</v>
      </c>
    </row>
    <row r="266" spans="1:4" x14ac:dyDescent="0.25">
      <c r="A266" s="5" t="s">
        <v>27</v>
      </c>
      <c r="B266" s="5" t="str">
        <f>Planilha1!B23</f>
        <v>Lojas</v>
      </c>
      <c r="C266" s="5" t="str">
        <f>Planilha1!B4</f>
        <v>ENEL CE</v>
      </c>
      <c r="D266" s="6">
        <v>1243338.5490849291</v>
      </c>
    </row>
    <row r="267" spans="1:4" x14ac:dyDescent="0.25">
      <c r="A267" s="5" t="s">
        <v>27</v>
      </c>
      <c r="B267" s="5" t="str">
        <f>Planilha1!B23</f>
        <v>Lojas</v>
      </c>
      <c r="C267" s="5" t="str">
        <f>Planilha1!B5</f>
        <v>ENEL RJ</v>
      </c>
      <c r="D267" s="6">
        <v>848877.90624953096</v>
      </c>
    </row>
    <row r="268" spans="1:4" x14ac:dyDescent="0.25">
      <c r="A268" s="5" t="s">
        <v>27</v>
      </c>
      <c r="B268" s="5" t="str">
        <f>Planilha1!B23</f>
        <v>Lojas</v>
      </c>
      <c r="C268" s="5" t="str">
        <f>Planilha1!B6</f>
        <v>ENEL SP</v>
      </c>
      <c r="D268" s="6">
        <v>3216351.2444812269</v>
      </c>
    </row>
    <row r="269" spans="1:4" x14ac:dyDescent="0.25">
      <c r="A269" s="5" t="s">
        <v>27</v>
      </c>
      <c r="B269" s="5" t="str">
        <f>Planilha1!B23</f>
        <v>Lojas</v>
      </c>
      <c r="C269" s="5" t="str">
        <f>Planilha1!B7</f>
        <v>CPFL PAULISTA</v>
      </c>
      <c r="D269" s="6">
        <v>3841487.377619361</v>
      </c>
    </row>
    <row r="270" spans="1:4" x14ac:dyDescent="0.25">
      <c r="A270" s="5" t="s">
        <v>27</v>
      </c>
      <c r="B270" s="5" t="str">
        <f>Planilha1!B23</f>
        <v>Lojas</v>
      </c>
      <c r="C270" s="5" t="str">
        <f>Planilha1!B8</f>
        <v>RGE</v>
      </c>
      <c r="D270" s="6">
        <v>2307065.113523535</v>
      </c>
    </row>
    <row r="271" spans="1:4" x14ac:dyDescent="0.25">
      <c r="A271" s="5" t="s">
        <v>27</v>
      </c>
      <c r="B271" s="5" t="str">
        <f>Planilha1!B23</f>
        <v>Lojas</v>
      </c>
      <c r="C271" s="5" t="str">
        <f>Planilha1!B9</f>
        <v>CPFL SANTA CRUZ</v>
      </c>
      <c r="D271" s="6">
        <v>409589.38614089531</v>
      </c>
    </row>
    <row r="272" spans="1:4" x14ac:dyDescent="0.25">
      <c r="A272" s="5" t="s">
        <v>27</v>
      </c>
      <c r="B272" s="5" t="str">
        <f>Planilha1!B23</f>
        <v>Lojas</v>
      </c>
      <c r="C272" s="5" t="str">
        <f>Planilha1!B10</f>
        <v>CPFL PIRATININGA</v>
      </c>
      <c r="D272" s="6">
        <v>1405867.4088065049</v>
      </c>
    </row>
    <row r="273" spans="1:4" x14ac:dyDescent="0.25">
      <c r="A273" s="5" t="s">
        <v>27</v>
      </c>
      <c r="B273" s="5" t="str">
        <f>Planilha1!B23</f>
        <v>Lojas</v>
      </c>
      <c r="C273" s="5" t="str">
        <f>Planilha1!B11</f>
        <v>CELPE</v>
      </c>
      <c r="D273" s="6">
        <v>2271649.651515624</v>
      </c>
    </row>
    <row r="274" spans="1:4" x14ac:dyDescent="0.25">
      <c r="A274" s="5" t="s">
        <v>27</v>
      </c>
      <c r="B274" s="5" t="str">
        <f>Planilha1!B23</f>
        <v>Lojas</v>
      </c>
      <c r="C274" s="5" t="str">
        <f>Planilha1!B12</f>
        <v>COELBA</v>
      </c>
      <c r="D274" s="6">
        <v>2783430.5342780352</v>
      </c>
    </row>
    <row r="275" spans="1:4" x14ac:dyDescent="0.25">
      <c r="A275" s="5" t="s">
        <v>27</v>
      </c>
      <c r="B275" s="5" t="str">
        <f>Planilha1!B23</f>
        <v>Lojas</v>
      </c>
      <c r="C275" s="5" t="str">
        <f>Planilha1!B13</f>
        <v>COSERN</v>
      </c>
      <c r="D275" s="6">
        <v>840596.42921049718</v>
      </c>
    </row>
    <row r="276" spans="1:4" x14ac:dyDescent="0.25">
      <c r="A276" s="5" t="s">
        <v>27</v>
      </c>
      <c r="B276" s="5" t="str">
        <f>Planilha1!B23</f>
        <v>Lojas</v>
      </c>
      <c r="C276" s="5" t="str">
        <f>Planilha1!B14</f>
        <v>ELEKTRO</v>
      </c>
      <c r="D276" s="6">
        <v>1239930.7154016651</v>
      </c>
    </row>
    <row r="277" spans="1:4" x14ac:dyDescent="0.25">
      <c r="A277" s="5" t="s">
        <v>27</v>
      </c>
      <c r="B277" s="5" t="str">
        <f>Planilha1!B23</f>
        <v>Lojas</v>
      </c>
      <c r="C277" s="5" t="str">
        <f>Planilha1!B15</f>
        <v>COPEL</v>
      </c>
      <c r="D277" s="6">
        <v>0</v>
      </c>
    </row>
    <row r="278" spans="1:4" x14ac:dyDescent="0.25">
      <c r="A278" s="5" t="s">
        <v>27</v>
      </c>
      <c r="B278" s="5" t="str">
        <f>Planilha1!B24</f>
        <v>Canal Interno</v>
      </c>
      <c r="C278" s="5" t="str">
        <f>Planilha1!B4</f>
        <v>ENEL CE</v>
      </c>
      <c r="D278" s="6">
        <v>884494.70956477849</v>
      </c>
    </row>
    <row r="279" spans="1:4" x14ac:dyDescent="0.25">
      <c r="A279" s="5" t="s">
        <v>27</v>
      </c>
      <c r="B279" s="5" t="str">
        <f>Planilha1!B24</f>
        <v>Canal Interno</v>
      </c>
      <c r="C279" s="5" t="str">
        <f>Planilha1!B5</f>
        <v>ENEL RJ</v>
      </c>
      <c r="D279" s="6">
        <v>603880.5904447583</v>
      </c>
    </row>
    <row r="280" spans="1:4" x14ac:dyDescent="0.25">
      <c r="A280" s="5" t="s">
        <v>27</v>
      </c>
      <c r="B280" s="5" t="str">
        <f>Planilha1!B24</f>
        <v>Canal Interno</v>
      </c>
      <c r="C280" s="5" t="str">
        <f>Planilha1!B6</f>
        <v>ENEL SP</v>
      </c>
      <c r="D280" s="6">
        <v>2288070.020783545</v>
      </c>
    </row>
    <row r="281" spans="1:4" x14ac:dyDescent="0.25">
      <c r="A281" s="5" t="s">
        <v>27</v>
      </c>
      <c r="B281" s="5" t="str">
        <f>Planilha1!B24</f>
        <v>Canal Interno</v>
      </c>
      <c r="C281" s="5" t="str">
        <f>Planilha1!B7</f>
        <v>CPFL PAULISTA</v>
      </c>
      <c r="D281" s="6">
        <v>2732783.6532253339</v>
      </c>
    </row>
    <row r="282" spans="1:4" x14ac:dyDescent="0.25">
      <c r="A282" s="5" t="s">
        <v>27</v>
      </c>
      <c r="B282" s="5" t="str">
        <f>Planilha1!B24</f>
        <v>Canal Interno</v>
      </c>
      <c r="C282" s="5" t="str">
        <f>Planilha1!B8</f>
        <v>RGE</v>
      </c>
      <c r="D282" s="6">
        <v>1641215.8128893061</v>
      </c>
    </row>
    <row r="283" spans="1:4" x14ac:dyDescent="0.25">
      <c r="A283" s="5" t="s">
        <v>27</v>
      </c>
      <c r="B283" s="5" t="str">
        <f>Planilha1!B24</f>
        <v>Canal Interno</v>
      </c>
      <c r="C283" s="5" t="str">
        <f>Planilha1!B9</f>
        <v>CPFL SANTA CRUZ</v>
      </c>
      <c r="D283" s="6">
        <v>291376.50835497468</v>
      </c>
    </row>
    <row r="284" spans="1:4" x14ac:dyDescent="0.25">
      <c r="A284" s="5" t="s">
        <v>27</v>
      </c>
      <c r="B284" s="5" t="str">
        <f>Planilha1!B24</f>
        <v>Canal Interno</v>
      </c>
      <c r="C284" s="5" t="str">
        <f>Planilha1!B10</f>
        <v>CPFL PIRATININGA</v>
      </c>
      <c r="D284" s="6">
        <v>1000115.605161663</v>
      </c>
    </row>
    <row r="285" spans="1:4" x14ac:dyDescent="0.25">
      <c r="A285" s="5" t="s">
        <v>27</v>
      </c>
      <c r="B285" s="5" t="str">
        <f>Planilha1!B24</f>
        <v>Canal Interno</v>
      </c>
      <c r="C285" s="5" t="str">
        <f>Planilha1!B11</f>
        <v>CELPE</v>
      </c>
      <c r="D285" s="6">
        <v>1616021.718484492</v>
      </c>
    </row>
    <row r="286" spans="1:4" x14ac:dyDescent="0.25">
      <c r="A286" s="5" t="s">
        <v>27</v>
      </c>
      <c r="B286" s="5" t="str">
        <f>Planilha1!B24</f>
        <v>Canal Interno</v>
      </c>
      <c r="C286" s="5" t="str">
        <f>Planilha1!B12</f>
        <v>COELBA</v>
      </c>
      <c r="D286" s="6">
        <v>1980095.9150039339</v>
      </c>
    </row>
    <row r="287" spans="1:4" x14ac:dyDescent="0.25">
      <c r="A287" s="5" t="s">
        <v>27</v>
      </c>
      <c r="B287" s="5" t="str">
        <f>Planilha1!B24</f>
        <v>Canal Interno</v>
      </c>
      <c r="C287" s="5" t="str">
        <f>Planilha1!B13</f>
        <v>COSERN</v>
      </c>
      <c r="D287" s="6">
        <v>597989.25647638866</v>
      </c>
    </row>
    <row r="288" spans="1:4" x14ac:dyDescent="0.25">
      <c r="A288" s="5" t="s">
        <v>27</v>
      </c>
      <c r="B288" s="5" t="str">
        <f>Planilha1!B24</f>
        <v>Canal Interno</v>
      </c>
      <c r="C288" s="5" t="str">
        <f>Planilha1!B14</f>
        <v>ELEKTRO</v>
      </c>
      <c r="D288" s="6">
        <v>882070.4214526288</v>
      </c>
    </row>
    <row r="289" spans="1:4" x14ac:dyDescent="0.25">
      <c r="A289" s="5" t="s">
        <v>27</v>
      </c>
      <c r="B289" s="5" t="str">
        <f>Planilha1!B24</f>
        <v>Canal Interno</v>
      </c>
      <c r="C289" s="5" t="str">
        <f>Planilha1!B15</f>
        <v>COPEL</v>
      </c>
      <c r="D289" s="6">
        <v>0</v>
      </c>
    </row>
    <row r="290" spans="1:4" x14ac:dyDescent="0.25">
      <c r="A290" s="5" t="s">
        <v>27</v>
      </c>
      <c r="B290" s="5" t="str">
        <f>Planilha1!B25</f>
        <v>Canal Digital</v>
      </c>
      <c r="C290" s="5" t="str">
        <f>Planilha1!B4</f>
        <v>ENEL CE</v>
      </c>
      <c r="D290" s="6">
        <v>133902.65730571389</v>
      </c>
    </row>
    <row r="291" spans="1:4" x14ac:dyDescent="0.25">
      <c r="A291" s="5" t="s">
        <v>27</v>
      </c>
      <c r="B291" s="5" t="str">
        <f>Planilha1!B25</f>
        <v>Canal Digital</v>
      </c>
      <c r="C291" s="5" t="str">
        <f>Planilha1!B5</f>
        <v>ENEL RJ</v>
      </c>
      <c r="D291" s="6">
        <v>91420.802048307291</v>
      </c>
    </row>
    <row r="292" spans="1:4" x14ac:dyDescent="0.25">
      <c r="A292" s="5" t="s">
        <v>27</v>
      </c>
      <c r="B292" s="5" t="str">
        <f>Planilha1!B25</f>
        <v>Canal Digital</v>
      </c>
      <c r="C292" s="5" t="str">
        <f>Planilha1!B6</f>
        <v>ENEL SP</v>
      </c>
      <c r="D292" s="6">
        <v>346388.34192147112</v>
      </c>
    </row>
    <row r="293" spans="1:4" x14ac:dyDescent="0.25">
      <c r="A293" s="5" t="s">
        <v>27</v>
      </c>
      <c r="B293" s="5" t="str">
        <f>Planilha1!B25</f>
        <v>Canal Digital</v>
      </c>
      <c r="C293" s="5" t="str">
        <f>Planilha1!B7</f>
        <v>CPFL PAULISTA</v>
      </c>
      <c r="D293" s="6">
        <v>413713.03756982973</v>
      </c>
    </row>
    <row r="294" spans="1:4" x14ac:dyDescent="0.25">
      <c r="A294" s="5" t="s">
        <v>27</v>
      </c>
      <c r="B294" s="5" t="str">
        <f>Planilha1!B25</f>
        <v>Canal Digital</v>
      </c>
      <c r="C294" s="5" t="str">
        <f>Planilha1!B8</f>
        <v>RGE</v>
      </c>
      <c r="D294" s="6">
        <v>248461.8123563129</v>
      </c>
    </row>
    <row r="295" spans="1:4" x14ac:dyDescent="0.25">
      <c r="A295" s="5" t="s">
        <v>27</v>
      </c>
      <c r="B295" s="5" t="str">
        <f>Planilha1!B25</f>
        <v>Canal Digital</v>
      </c>
      <c r="C295" s="5" t="str">
        <f>Planilha1!B9</f>
        <v>CPFL SANTA CRUZ</v>
      </c>
      <c r="D295" s="6">
        <v>44111.161235085063</v>
      </c>
    </row>
    <row r="296" spans="1:4" x14ac:dyDescent="0.25">
      <c r="A296" s="5" t="s">
        <v>27</v>
      </c>
      <c r="B296" s="5" t="str">
        <f>Planilha1!B25</f>
        <v>Canal Digital</v>
      </c>
      <c r="C296" s="5" t="str">
        <f>Planilha1!B10</f>
        <v>CPFL PIRATININGA</v>
      </c>
      <c r="D296" s="6">
        <v>151406.37439194421</v>
      </c>
    </row>
    <row r="297" spans="1:4" x14ac:dyDescent="0.25">
      <c r="A297" s="5" t="s">
        <v>27</v>
      </c>
      <c r="B297" s="5" t="str">
        <f>Planilha1!B25</f>
        <v>Canal Digital</v>
      </c>
      <c r="C297" s="5" t="str">
        <f>Planilha1!B11</f>
        <v>CELPE</v>
      </c>
      <c r="D297" s="6">
        <v>244647.70679668139</v>
      </c>
    </row>
    <row r="298" spans="1:4" x14ac:dyDescent="0.25">
      <c r="A298" s="5" t="s">
        <v>27</v>
      </c>
      <c r="B298" s="5" t="str">
        <f>Planilha1!B25</f>
        <v>Canal Digital</v>
      </c>
      <c r="C298" s="5" t="str">
        <f>Planilha1!B12</f>
        <v>COELBA</v>
      </c>
      <c r="D298" s="6">
        <v>299764.48911681998</v>
      </c>
    </row>
    <row r="299" spans="1:4" x14ac:dyDescent="0.25">
      <c r="A299" s="5" t="s">
        <v>27</v>
      </c>
      <c r="B299" s="5" t="str">
        <f>Planilha1!B25</f>
        <v>Canal Digital</v>
      </c>
      <c r="C299" s="5" t="str">
        <f>Planilha1!B13</f>
        <v>COSERN</v>
      </c>
      <c r="D299" s="6">
        <v>90528.919638034524</v>
      </c>
    </row>
    <row r="300" spans="1:4" x14ac:dyDescent="0.25">
      <c r="A300" s="5" t="s">
        <v>27</v>
      </c>
      <c r="B300" s="5" t="str">
        <f>Planilha1!B25</f>
        <v>Canal Digital</v>
      </c>
      <c r="C300" s="5" t="str">
        <f>Planilha1!B14</f>
        <v>ELEKTRO</v>
      </c>
      <c r="D300" s="6">
        <v>133535.6470604506</v>
      </c>
    </row>
    <row r="301" spans="1:4" x14ac:dyDescent="0.25">
      <c r="A301" s="5" t="s">
        <v>27</v>
      </c>
      <c r="B301" s="5" t="str">
        <f>Planilha1!B25</f>
        <v>Canal Digital</v>
      </c>
      <c r="C301" s="5" t="str">
        <f>Planilha1!B15</f>
        <v>COPEL</v>
      </c>
      <c r="D301" s="6">
        <v>0</v>
      </c>
    </row>
    <row r="302" spans="1:4" x14ac:dyDescent="0.25">
      <c r="A302" s="5" t="s">
        <v>28</v>
      </c>
      <c r="B302" s="5" t="str">
        <f>Planilha1!B21</f>
        <v>Reallizi</v>
      </c>
      <c r="C302" s="5" t="str">
        <f>Planilha1!B4</f>
        <v>ENEL CE</v>
      </c>
      <c r="D302" s="6">
        <v>1405452.2526831699</v>
      </c>
    </row>
    <row r="303" spans="1:4" x14ac:dyDescent="0.25">
      <c r="A303" s="5" t="s">
        <v>28</v>
      </c>
      <c r="B303" s="5" t="str">
        <f>Planilha1!B21</f>
        <v>Reallizi</v>
      </c>
      <c r="C303" s="5" t="str">
        <f>Planilha1!B5</f>
        <v>ENEL RJ</v>
      </c>
      <c r="D303" s="6">
        <v>959559.53949102748</v>
      </c>
    </row>
    <row r="304" spans="1:4" x14ac:dyDescent="0.25">
      <c r="A304" s="5" t="s">
        <v>28</v>
      </c>
      <c r="B304" s="5" t="str">
        <f>Planilha1!B21</f>
        <v>Reallizi</v>
      </c>
      <c r="C304" s="5" t="str">
        <f>Planilha1!B6</f>
        <v>ENEL SP</v>
      </c>
      <c r="D304" s="6">
        <v>3635717.8061465188</v>
      </c>
    </row>
    <row r="305" spans="1:4" x14ac:dyDescent="0.25">
      <c r="A305" s="5" t="s">
        <v>28</v>
      </c>
      <c r="B305" s="5" t="str">
        <f>Planilha1!B21</f>
        <v>Reallizi</v>
      </c>
      <c r="C305" s="5" t="str">
        <f>Planilha1!B7</f>
        <v>CPFL PAULISTA</v>
      </c>
      <c r="D305" s="6">
        <v>4342945.7702957839</v>
      </c>
    </row>
    <row r="306" spans="1:4" x14ac:dyDescent="0.25">
      <c r="A306" s="5" t="s">
        <v>28</v>
      </c>
      <c r="B306" s="5" t="str">
        <f>Planilha1!B21</f>
        <v>Reallizi</v>
      </c>
      <c r="C306" s="5" t="str">
        <f>Planilha1!B8</f>
        <v>RGE</v>
      </c>
      <c r="D306" s="6">
        <v>2608223.7663848149</v>
      </c>
    </row>
    <row r="307" spans="1:4" x14ac:dyDescent="0.25">
      <c r="A307" s="5" t="s">
        <v>28</v>
      </c>
      <c r="B307" s="5" t="str">
        <f>Planilha1!B21</f>
        <v>Reallizi</v>
      </c>
      <c r="C307" s="5" t="str">
        <f>Planilha1!B9</f>
        <v>CPFL SANTA CRUZ</v>
      </c>
      <c r="D307" s="6">
        <v>463056.18559679459</v>
      </c>
    </row>
    <row r="308" spans="1:4" x14ac:dyDescent="0.25">
      <c r="A308" s="5" t="s">
        <v>28</v>
      </c>
      <c r="B308" s="5" t="str">
        <f>Planilha1!B21</f>
        <v>Reallizi</v>
      </c>
      <c r="C308" s="5" t="str">
        <f>Planilha1!B10</f>
        <v>CPFL PIRATININGA</v>
      </c>
      <c r="D308" s="6">
        <v>1589385.91136454</v>
      </c>
    </row>
    <row r="309" spans="1:4" x14ac:dyDescent="0.25">
      <c r="A309" s="5" t="s">
        <v>28</v>
      </c>
      <c r="B309" s="5" t="str">
        <f>Planilha1!B21</f>
        <v>Reallizi</v>
      </c>
      <c r="C309" s="5" t="str">
        <f>Planilha1!B11</f>
        <v>CELPE</v>
      </c>
      <c r="D309" s="6">
        <v>2395622.421844874</v>
      </c>
    </row>
    <row r="310" spans="1:4" x14ac:dyDescent="0.25">
      <c r="A310" s="5" t="s">
        <v>28</v>
      </c>
      <c r="B310" s="5" t="str">
        <f>Planilha1!B21</f>
        <v>Reallizi</v>
      </c>
      <c r="C310" s="5" t="str">
        <f>Planilha1!B12</f>
        <v>COELBA</v>
      </c>
      <c r="D310" s="6">
        <v>2935333.1809397931</v>
      </c>
    </row>
    <row r="311" spans="1:4" x14ac:dyDescent="0.25">
      <c r="A311" s="5" t="s">
        <v>28</v>
      </c>
      <c r="B311" s="5" t="str">
        <f>Planilha1!B21</f>
        <v>Reallizi</v>
      </c>
      <c r="C311" s="5" t="str">
        <f>Planilha1!B13</f>
        <v>COSERN</v>
      </c>
      <c r="D311" s="6">
        <v>886471.05076077371</v>
      </c>
    </row>
    <row r="312" spans="1:4" x14ac:dyDescent="0.25">
      <c r="A312" s="5" t="s">
        <v>28</v>
      </c>
      <c r="B312" s="5" t="str">
        <f>Planilha1!B21</f>
        <v>Reallizi</v>
      </c>
      <c r="C312" s="5" t="str">
        <f>Planilha1!B14</f>
        <v>ELEKTRO</v>
      </c>
      <c r="D312" s="6">
        <v>1307598.5644919111</v>
      </c>
    </row>
    <row r="313" spans="1:4" x14ac:dyDescent="0.25">
      <c r="A313" s="5" t="s">
        <v>28</v>
      </c>
      <c r="B313" s="5" t="str">
        <f>Planilha1!B21</f>
        <v>Reallizi</v>
      </c>
      <c r="C313" s="5" t="str">
        <f>Planilha1!B15</f>
        <v>COPEL</v>
      </c>
      <c r="D313" s="6">
        <v>0</v>
      </c>
    </row>
    <row r="314" spans="1:4" x14ac:dyDescent="0.25">
      <c r="A314" s="5" t="s">
        <v>28</v>
      </c>
      <c r="B314" s="5" t="str">
        <f>Planilha1!B22</f>
        <v>Corban</v>
      </c>
      <c r="C314" s="5" t="str">
        <f>Planilha1!B4</f>
        <v>ENEL CE</v>
      </c>
      <c r="D314" s="6">
        <v>2842030.572264656</v>
      </c>
    </row>
    <row r="315" spans="1:4" x14ac:dyDescent="0.25">
      <c r="A315" s="5" t="s">
        <v>28</v>
      </c>
      <c r="B315" s="5" t="str">
        <f>Planilha1!B22</f>
        <v>Corban</v>
      </c>
      <c r="C315" s="5" t="str">
        <f>Planilha1!B5</f>
        <v>ENEL RJ</v>
      </c>
      <c r="D315" s="6">
        <v>1940370.113559783</v>
      </c>
    </row>
    <row r="316" spans="1:4" x14ac:dyDescent="0.25">
      <c r="A316" s="5" t="s">
        <v>28</v>
      </c>
      <c r="B316" s="5" t="str">
        <f>Planilha1!B22</f>
        <v>Corban</v>
      </c>
      <c r="C316" s="5" t="str">
        <f>Planilha1!B6</f>
        <v>ENEL SP</v>
      </c>
      <c r="D316" s="6">
        <v>7351954.6021352559</v>
      </c>
    </row>
    <row r="317" spans="1:4" x14ac:dyDescent="0.25">
      <c r="A317" s="5" t="s">
        <v>28</v>
      </c>
      <c r="B317" s="5" t="str">
        <f>Planilha1!B22</f>
        <v>Corban</v>
      </c>
      <c r="C317" s="5" t="str">
        <f>Planilha1!B7</f>
        <v>CPFL PAULISTA</v>
      </c>
      <c r="D317" s="6">
        <v>8782073.2645341028</v>
      </c>
    </row>
    <row r="318" spans="1:4" x14ac:dyDescent="0.25">
      <c r="A318" s="5" t="s">
        <v>28</v>
      </c>
      <c r="B318" s="5" t="str">
        <f>Planilha1!B22</f>
        <v>Corban</v>
      </c>
      <c r="C318" s="5" t="str">
        <f>Planilha1!B8</f>
        <v>RGE</v>
      </c>
      <c r="D318" s="6">
        <v>5274210.966058298</v>
      </c>
    </row>
    <row r="319" spans="1:4" x14ac:dyDescent="0.25">
      <c r="A319" s="5" t="s">
        <v>28</v>
      </c>
      <c r="B319" s="5" t="str">
        <f>Planilha1!B22</f>
        <v>Corban</v>
      </c>
      <c r="C319" s="5" t="str">
        <f>Planilha1!B9</f>
        <v>CPFL SANTA CRUZ</v>
      </c>
      <c r="D319" s="6">
        <v>936367.51702515257</v>
      </c>
    </row>
    <row r="320" spans="1:4" x14ac:dyDescent="0.25">
      <c r="A320" s="5" t="s">
        <v>28</v>
      </c>
      <c r="B320" s="5" t="str">
        <f>Planilha1!B22</f>
        <v>Corban</v>
      </c>
      <c r="C320" s="5" t="str">
        <f>Planilha1!B10</f>
        <v>CPFL PIRATININGA</v>
      </c>
      <c r="D320" s="6">
        <v>3213971.4050058359</v>
      </c>
    </row>
    <row r="321" spans="1:4" x14ac:dyDescent="0.25">
      <c r="A321" s="5" t="s">
        <v>28</v>
      </c>
      <c r="B321" s="5" t="str">
        <f>Planilha1!B22</f>
        <v>Corban</v>
      </c>
      <c r="C321" s="5" t="str">
        <f>Planilha1!B11</f>
        <v>CELPE</v>
      </c>
      <c r="D321" s="6">
        <v>4844299.8682365408</v>
      </c>
    </row>
    <row r="322" spans="1:4" x14ac:dyDescent="0.25">
      <c r="A322" s="5" t="s">
        <v>28</v>
      </c>
      <c r="B322" s="5" t="str">
        <f>Planilha1!B22</f>
        <v>Corban</v>
      </c>
      <c r="C322" s="5" t="str">
        <f>Planilha1!B12</f>
        <v>COELBA</v>
      </c>
      <c r="D322" s="6">
        <v>5935674.1746916939</v>
      </c>
    </row>
    <row r="323" spans="1:4" x14ac:dyDescent="0.25">
      <c r="A323" s="5" t="s">
        <v>28</v>
      </c>
      <c r="B323" s="5" t="str">
        <f>Planilha1!B22</f>
        <v>Corban</v>
      </c>
      <c r="C323" s="5" t="str">
        <f>Planilha1!B13</f>
        <v>COSERN</v>
      </c>
      <c r="D323" s="6">
        <v>1792574.4705164561</v>
      </c>
    </row>
    <row r="324" spans="1:4" x14ac:dyDescent="0.25">
      <c r="A324" s="5" t="s">
        <v>28</v>
      </c>
      <c r="B324" s="5" t="str">
        <f>Planilha1!B22</f>
        <v>Corban</v>
      </c>
      <c r="C324" s="5" t="str">
        <f>Planilha1!B14</f>
        <v>ELEKTRO</v>
      </c>
      <c r="D324" s="6">
        <v>2644156.0639578258</v>
      </c>
    </row>
    <row r="325" spans="1:4" x14ac:dyDescent="0.25">
      <c r="A325" s="5" t="s">
        <v>28</v>
      </c>
      <c r="B325" s="5" t="str">
        <f>Planilha1!B22</f>
        <v>Corban</v>
      </c>
      <c r="C325" s="5" t="str">
        <f>Planilha1!B15</f>
        <v>COPEL</v>
      </c>
      <c r="D325" s="6">
        <v>0</v>
      </c>
    </row>
    <row r="326" spans="1:4" x14ac:dyDescent="0.25">
      <c r="A326" s="5" t="s">
        <v>28</v>
      </c>
      <c r="B326" s="5" t="str">
        <f>Planilha1!B23</f>
        <v>Lojas</v>
      </c>
      <c r="C326" s="5" t="str">
        <f>Planilha1!B4</f>
        <v>ENEL CE</v>
      </c>
      <c r="D326" s="6">
        <v>1406475.24668644</v>
      </c>
    </row>
    <row r="327" spans="1:4" x14ac:dyDescent="0.25">
      <c r="A327" s="5" t="s">
        <v>28</v>
      </c>
      <c r="B327" s="5" t="str">
        <f>Planilha1!B23</f>
        <v>Lojas</v>
      </c>
      <c r="C327" s="5" t="str">
        <f>Planilha1!B5</f>
        <v>ENEL RJ</v>
      </c>
      <c r="D327" s="6">
        <v>960257.97919455066</v>
      </c>
    </row>
    <row r="328" spans="1:4" x14ac:dyDescent="0.25">
      <c r="A328" s="5" t="s">
        <v>28</v>
      </c>
      <c r="B328" s="5" t="str">
        <f>Planilha1!B23</f>
        <v>Lojas</v>
      </c>
      <c r="C328" s="5" t="str">
        <f>Planilha1!B6</f>
        <v>ENEL SP</v>
      </c>
      <c r="D328" s="6">
        <v>3638364.155395431</v>
      </c>
    </row>
    <row r="329" spans="1:4" x14ac:dyDescent="0.25">
      <c r="A329" s="5" t="s">
        <v>28</v>
      </c>
      <c r="B329" s="5" t="str">
        <f>Planilha1!B23</f>
        <v>Lojas</v>
      </c>
      <c r="C329" s="5" t="str">
        <f>Planilha1!B7</f>
        <v>CPFL PAULISTA</v>
      </c>
      <c r="D329" s="6">
        <v>4346106.8933229502</v>
      </c>
    </row>
    <row r="330" spans="1:4" x14ac:dyDescent="0.25">
      <c r="A330" s="5" t="s">
        <v>28</v>
      </c>
      <c r="B330" s="5" t="str">
        <f>Planilha1!B23</f>
        <v>Lojas</v>
      </c>
      <c r="C330" s="5" t="str">
        <f>Planilha1!B8</f>
        <v>RGE</v>
      </c>
      <c r="D330" s="6">
        <v>2610122.2280843169</v>
      </c>
    </row>
    <row r="331" spans="1:4" x14ac:dyDescent="0.25">
      <c r="A331" s="5" t="s">
        <v>28</v>
      </c>
      <c r="B331" s="5" t="str">
        <f>Planilha1!B23</f>
        <v>Lojas</v>
      </c>
      <c r="C331" s="5" t="str">
        <f>Planilha1!B9</f>
        <v>CPFL SANTA CRUZ</v>
      </c>
      <c r="D331" s="6">
        <v>463393.2327644506</v>
      </c>
    </row>
    <row r="332" spans="1:4" x14ac:dyDescent="0.25">
      <c r="A332" s="5" t="s">
        <v>28</v>
      </c>
      <c r="B332" s="5" t="str">
        <f>Planilha1!B23</f>
        <v>Lojas</v>
      </c>
      <c r="C332" s="5" t="str">
        <f>Planilha1!B10</f>
        <v>CPFL PIRATININGA</v>
      </c>
      <c r="D332" s="6">
        <v>1590542.7861378409</v>
      </c>
    </row>
    <row r="333" spans="1:4" x14ac:dyDescent="0.25">
      <c r="A333" s="5" t="s">
        <v>28</v>
      </c>
      <c r="B333" s="5" t="str">
        <f>Planilha1!B23</f>
        <v>Lojas</v>
      </c>
      <c r="C333" s="5" t="str">
        <f>Planilha1!B11</f>
        <v>CELPE</v>
      </c>
      <c r="D333" s="6">
        <v>2397366.1362734269</v>
      </c>
    </row>
    <row r="334" spans="1:4" x14ac:dyDescent="0.25">
      <c r="A334" s="5" t="s">
        <v>28</v>
      </c>
      <c r="B334" s="5" t="str">
        <f>Planilha1!B23</f>
        <v>Lojas</v>
      </c>
      <c r="C334" s="5" t="str">
        <f>Planilha1!B12</f>
        <v>COELBA</v>
      </c>
      <c r="D334" s="6">
        <v>2937469.73750795</v>
      </c>
    </row>
    <row r="335" spans="1:4" x14ac:dyDescent="0.25">
      <c r="A335" s="5" t="s">
        <v>28</v>
      </c>
      <c r="B335" s="5" t="str">
        <f>Planilha1!B23</f>
        <v>Lojas</v>
      </c>
      <c r="C335" s="5" t="str">
        <f>Planilha1!B13</f>
        <v>COSERN</v>
      </c>
      <c r="D335" s="6">
        <v>887116.29115742864</v>
      </c>
    </row>
    <row r="336" spans="1:4" x14ac:dyDescent="0.25">
      <c r="A336" s="5" t="s">
        <v>28</v>
      </c>
      <c r="B336" s="5" t="str">
        <f>Planilha1!B23</f>
        <v>Lojas</v>
      </c>
      <c r="C336" s="5" t="str">
        <f>Planilha1!B14</f>
        <v>ELEKTRO</v>
      </c>
      <c r="D336" s="6">
        <v>1308550.333210917</v>
      </c>
    </row>
    <row r="337" spans="1:4" x14ac:dyDescent="0.25">
      <c r="A337" s="5" t="s">
        <v>28</v>
      </c>
      <c r="B337" s="5" t="str">
        <f>Planilha1!B23</f>
        <v>Lojas</v>
      </c>
      <c r="C337" s="5" t="str">
        <f>Planilha1!B15</f>
        <v>COPEL</v>
      </c>
      <c r="D337" s="6">
        <v>0</v>
      </c>
    </row>
    <row r="338" spans="1:4" x14ac:dyDescent="0.25">
      <c r="A338" s="5" t="s">
        <v>28</v>
      </c>
      <c r="B338" s="5" t="str">
        <f>Planilha1!B24</f>
        <v>Canal Interno</v>
      </c>
      <c r="C338" s="5" t="str">
        <f>Planilha1!B4</f>
        <v>ENEL CE</v>
      </c>
      <c r="D338" s="6">
        <v>964612.87799102173</v>
      </c>
    </row>
    <row r="339" spans="1:4" x14ac:dyDescent="0.25">
      <c r="A339" s="5" t="s">
        <v>28</v>
      </c>
      <c r="B339" s="5" t="str">
        <f>Planilha1!B24</f>
        <v>Canal Interno</v>
      </c>
      <c r="C339" s="5" t="str">
        <f>Planilha1!B5</f>
        <v>ENEL RJ</v>
      </c>
      <c r="D339" s="6">
        <v>658580.52966587513</v>
      </c>
    </row>
    <row r="340" spans="1:4" x14ac:dyDescent="0.25">
      <c r="A340" s="5" t="s">
        <v>28</v>
      </c>
      <c r="B340" s="5" t="str">
        <f>Planilha1!B24</f>
        <v>Canal Interno</v>
      </c>
      <c r="C340" s="5" t="str">
        <f>Planilha1!B6</f>
        <v>ENEL SP</v>
      </c>
      <c r="D340" s="6">
        <v>2495325.05274001</v>
      </c>
    </row>
    <row r="341" spans="1:4" x14ac:dyDescent="0.25">
      <c r="A341" s="5" t="s">
        <v>28</v>
      </c>
      <c r="B341" s="5" t="str">
        <f>Planilha1!B24</f>
        <v>Canal Interno</v>
      </c>
      <c r="C341" s="5" t="str">
        <f>Planilha1!B7</f>
        <v>CPFL PAULISTA</v>
      </c>
      <c r="D341" s="6">
        <v>2980721.2663725638</v>
      </c>
    </row>
    <row r="342" spans="1:4" x14ac:dyDescent="0.25">
      <c r="A342" s="5" t="s">
        <v>28</v>
      </c>
      <c r="B342" s="5" t="str">
        <f>Planilha1!B24</f>
        <v>Canal Interno</v>
      </c>
      <c r="C342" s="5" t="str">
        <f>Planilha1!B8</f>
        <v>RGE</v>
      </c>
      <c r="D342" s="6">
        <v>1790118.610528281</v>
      </c>
    </row>
    <row r="343" spans="1:4" x14ac:dyDescent="0.25">
      <c r="A343" s="5" t="s">
        <v>28</v>
      </c>
      <c r="B343" s="5" t="str">
        <f>Planilha1!B24</f>
        <v>Canal Interno</v>
      </c>
      <c r="C343" s="5" t="str">
        <f>Planilha1!B9</f>
        <v>CPFL SANTA CRUZ</v>
      </c>
      <c r="D343" s="6">
        <v>317812.26221476001</v>
      </c>
    </row>
    <row r="344" spans="1:4" x14ac:dyDescent="0.25">
      <c r="A344" s="5" t="s">
        <v>28</v>
      </c>
      <c r="B344" s="5" t="str">
        <f>Planilha1!B24</f>
        <v>Canal Interno</v>
      </c>
      <c r="C344" s="5" t="str">
        <f>Planilha1!B10</f>
        <v>CPFL PIRATININGA</v>
      </c>
      <c r="D344" s="6">
        <v>1090853.2219951169</v>
      </c>
    </row>
    <row r="345" spans="1:4" x14ac:dyDescent="0.25">
      <c r="A345" s="5" t="s">
        <v>28</v>
      </c>
      <c r="B345" s="5" t="str">
        <f>Planilha1!B24</f>
        <v>Canal Interno</v>
      </c>
      <c r="C345" s="5" t="str">
        <f>Planilha1!B11</f>
        <v>CELPE</v>
      </c>
      <c r="D345" s="6">
        <v>1644202.5935096201</v>
      </c>
    </row>
    <row r="346" spans="1:4" x14ac:dyDescent="0.25">
      <c r="A346" s="5" t="s">
        <v>28</v>
      </c>
      <c r="B346" s="5" t="str">
        <f>Planilha1!B24</f>
        <v>Canal Interno</v>
      </c>
      <c r="C346" s="5" t="str">
        <f>Planilha1!B12</f>
        <v>COELBA</v>
      </c>
      <c r="D346" s="6">
        <v>2014625.6709349549</v>
      </c>
    </row>
    <row r="347" spans="1:4" x14ac:dyDescent="0.25">
      <c r="A347" s="5" t="s">
        <v>28</v>
      </c>
      <c r="B347" s="5" t="str">
        <f>Planilha1!B24</f>
        <v>Canal Interno</v>
      </c>
      <c r="C347" s="5" t="str">
        <f>Planilha1!B13</f>
        <v>COSERN</v>
      </c>
      <c r="D347" s="6">
        <v>608417.24782723014</v>
      </c>
    </row>
    <row r="348" spans="1:4" x14ac:dyDescent="0.25">
      <c r="A348" s="5" t="s">
        <v>28</v>
      </c>
      <c r="B348" s="5" t="str">
        <f>Planilha1!B24</f>
        <v>Canal Interno</v>
      </c>
      <c r="C348" s="5" t="str">
        <f>Planilha1!B14</f>
        <v>ELEKTRO</v>
      </c>
      <c r="D348" s="6">
        <v>897452.34115456732</v>
      </c>
    </row>
    <row r="349" spans="1:4" x14ac:dyDescent="0.25">
      <c r="A349" s="5" t="s">
        <v>28</v>
      </c>
      <c r="B349" s="5" t="str">
        <f>Planilha1!B24</f>
        <v>Canal Interno</v>
      </c>
      <c r="C349" s="5" t="str">
        <f>Planilha1!B15</f>
        <v>COPEL</v>
      </c>
      <c r="D349" s="6">
        <v>0</v>
      </c>
    </row>
    <row r="350" spans="1:4" x14ac:dyDescent="0.25">
      <c r="A350" s="5" t="s">
        <v>28</v>
      </c>
      <c r="B350" s="5" t="str">
        <f>Planilha1!B25</f>
        <v>Canal Digital</v>
      </c>
      <c r="C350" s="5" t="str">
        <f>Planilha1!B4</f>
        <v>ENEL CE</v>
      </c>
      <c r="D350" s="6">
        <v>148893.3135194132</v>
      </c>
    </row>
    <row r="351" spans="1:4" x14ac:dyDescent="0.25">
      <c r="A351" s="5" t="s">
        <v>28</v>
      </c>
      <c r="B351" s="5" t="str">
        <f>Planilha1!B25</f>
        <v>Canal Digital</v>
      </c>
      <c r="C351" s="5" t="str">
        <f>Planilha1!B5</f>
        <v>ENEL RJ</v>
      </c>
      <c r="D351" s="6">
        <v>101655.5340682846</v>
      </c>
    </row>
    <row r="352" spans="1:4" x14ac:dyDescent="0.25">
      <c r="A352" s="5" t="s">
        <v>28</v>
      </c>
      <c r="B352" s="5" t="str">
        <f>Planilha1!B25</f>
        <v>Canal Digital</v>
      </c>
      <c r="C352" s="5" t="str">
        <f>Planilha1!B6</f>
        <v>ENEL SP</v>
      </c>
      <c r="D352" s="6">
        <v>385167.17316096497</v>
      </c>
    </row>
    <row r="353" spans="1:4" x14ac:dyDescent="0.25">
      <c r="A353" s="5" t="s">
        <v>28</v>
      </c>
      <c r="B353" s="5" t="str">
        <f>Planilha1!B25</f>
        <v>Canal Digital</v>
      </c>
      <c r="C353" s="5" t="str">
        <f>Planilha1!B7</f>
        <v>CPFL PAULISTA</v>
      </c>
      <c r="D353" s="6">
        <v>460090.75366307038</v>
      </c>
    </row>
    <row r="354" spans="1:4" x14ac:dyDescent="0.25">
      <c r="A354" s="5" t="s">
        <v>28</v>
      </c>
      <c r="B354" s="5" t="str">
        <f>Planilha1!B25</f>
        <v>Canal Digital</v>
      </c>
      <c r="C354" s="5" t="str">
        <f>Planilha1!B8</f>
        <v>RGE</v>
      </c>
      <c r="D354" s="6">
        <v>276314.6725445278</v>
      </c>
    </row>
    <row r="355" spans="1:4" x14ac:dyDescent="0.25">
      <c r="A355" s="5" t="s">
        <v>28</v>
      </c>
      <c r="B355" s="5" t="str">
        <f>Planilha1!B25</f>
        <v>Canal Digital</v>
      </c>
      <c r="C355" s="5" t="str">
        <f>Planilha1!B9</f>
        <v>CPFL SANTA CRUZ</v>
      </c>
      <c r="D355" s="6">
        <v>49056.074076896854</v>
      </c>
    </row>
    <row r="356" spans="1:4" x14ac:dyDescent="0.25">
      <c r="A356" s="5" t="s">
        <v>28</v>
      </c>
      <c r="B356" s="5" t="str">
        <f>Planilha1!B25</f>
        <v>Canal Digital</v>
      </c>
      <c r="C356" s="5" t="str">
        <f>Planilha1!B10</f>
        <v>CPFL PIRATININGA</v>
      </c>
      <c r="D356" s="6">
        <v>168379.20630341501</v>
      </c>
    </row>
    <row r="357" spans="1:4" x14ac:dyDescent="0.25">
      <c r="A357" s="5" t="s">
        <v>28</v>
      </c>
      <c r="B357" s="5" t="str">
        <f>Planilha1!B25</f>
        <v>Canal Digital</v>
      </c>
      <c r="C357" s="5" t="str">
        <f>Planilha1!B11</f>
        <v>CELPE</v>
      </c>
      <c r="D357" s="6">
        <v>253791.7312017669</v>
      </c>
    </row>
    <row r="358" spans="1:4" x14ac:dyDescent="0.25">
      <c r="A358" s="5" t="s">
        <v>28</v>
      </c>
      <c r="B358" s="5" t="str">
        <f>Planilha1!B25</f>
        <v>Canal Digital</v>
      </c>
      <c r="C358" s="5" t="str">
        <f>Planilha1!B12</f>
        <v>COELBA</v>
      </c>
      <c r="D358" s="6">
        <v>310968.57453479728</v>
      </c>
    </row>
    <row r="359" spans="1:4" x14ac:dyDescent="0.25">
      <c r="A359" s="5" t="s">
        <v>28</v>
      </c>
      <c r="B359" s="5" t="str">
        <f>Planilha1!B25</f>
        <v>Canal Digital</v>
      </c>
      <c r="C359" s="5" t="str">
        <f>Planilha1!B13</f>
        <v>COSERN</v>
      </c>
      <c r="D359" s="6">
        <v>93912.555076007877</v>
      </c>
    </row>
    <row r="360" spans="1:4" x14ac:dyDescent="0.25">
      <c r="A360" s="5" t="s">
        <v>28</v>
      </c>
      <c r="B360" s="5" t="str">
        <f>Planilha1!B25</f>
        <v>Canal Digital</v>
      </c>
      <c r="C360" s="5" t="str">
        <f>Planilha1!B14</f>
        <v>ELEKTRO</v>
      </c>
      <c r="D360" s="6">
        <v>138526.71454952529</v>
      </c>
    </row>
    <row r="361" spans="1:4" x14ac:dyDescent="0.25">
      <c r="A361" s="5" t="s">
        <v>28</v>
      </c>
      <c r="B361" s="5" t="str">
        <f>Planilha1!B25</f>
        <v>Canal Digital</v>
      </c>
      <c r="C361" s="5" t="str">
        <f>Planilha1!B15</f>
        <v>COPEL</v>
      </c>
      <c r="D361" s="6">
        <v>0</v>
      </c>
    </row>
    <row r="362" spans="1:4" x14ac:dyDescent="0.25">
      <c r="A362" s="5" t="s">
        <v>29</v>
      </c>
      <c r="B362" s="5" t="str">
        <f>Planilha1!B21</f>
        <v>Reallizi</v>
      </c>
      <c r="C362" s="5" t="str">
        <f>Planilha1!B4</f>
        <v>ENEL CE</v>
      </c>
      <c r="D362" s="6">
        <v>1656364.136351041</v>
      </c>
    </row>
    <row r="363" spans="1:4" x14ac:dyDescent="0.25">
      <c r="A363" s="5" t="s">
        <v>29</v>
      </c>
      <c r="B363" s="5" t="str">
        <f>Planilha1!B21</f>
        <v>Reallizi</v>
      </c>
      <c r="C363" s="5" t="str">
        <f>Planilha1!B5</f>
        <v>ENEL RJ</v>
      </c>
      <c r="D363" s="6">
        <v>1130867.3097020159</v>
      </c>
    </row>
    <row r="364" spans="1:4" x14ac:dyDescent="0.25">
      <c r="A364" s="5" t="s">
        <v>29</v>
      </c>
      <c r="B364" s="5" t="str">
        <f>Planilha1!B21</f>
        <v>Reallizi</v>
      </c>
      <c r="C364" s="5" t="str">
        <f>Planilha1!B6</f>
        <v>ENEL SP</v>
      </c>
      <c r="D364" s="6">
        <v>4284793.433926452</v>
      </c>
    </row>
    <row r="365" spans="1:4" x14ac:dyDescent="0.25">
      <c r="A365" s="5" t="s">
        <v>29</v>
      </c>
      <c r="B365" s="5" t="str">
        <f>Planilha1!B21</f>
        <v>Reallizi</v>
      </c>
      <c r="C365" s="5" t="str">
        <f>Planilha1!B7</f>
        <v>CPFL PAULISTA</v>
      </c>
      <c r="D365" s="6">
        <v>4189640.0094406018</v>
      </c>
    </row>
    <row r="366" spans="1:4" x14ac:dyDescent="0.25">
      <c r="A366" s="5" t="s">
        <v>29</v>
      </c>
      <c r="B366" s="5" t="str">
        <f>Planilha1!B21</f>
        <v>Reallizi</v>
      </c>
      <c r="C366" s="5" t="str">
        <f>Planilha1!B8</f>
        <v>RGE</v>
      </c>
      <c r="D366" s="6">
        <v>2516153.6024603508</v>
      </c>
    </row>
    <row r="367" spans="1:4" x14ac:dyDescent="0.25">
      <c r="A367" s="5" t="s">
        <v>29</v>
      </c>
      <c r="B367" s="5" t="str">
        <f>Planilha1!B21</f>
        <v>Reallizi</v>
      </c>
      <c r="C367" s="5" t="str">
        <f>Planilha1!B9</f>
        <v>CPFL SANTA CRUZ</v>
      </c>
      <c r="D367" s="6">
        <v>446710.32621785521</v>
      </c>
    </row>
    <row r="368" spans="1:4" x14ac:dyDescent="0.25">
      <c r="A368" s="5" t="s">
        <v>29</v>
      </c>
      <c r="B368" s="5" t="str">
        <f>Planilha1!B21</f>
        <v>Reallizi</v>
      </c>
      <c r="C368" s="5" t="str">
        <f>Planilha1!B10</f>
        <v>CPFL PIRATININGA</v>
      </c>
      <c r="D368" s="6">
        <v>1533280.670976596</v>
      </c>
    </row>
    <row r="369" spans="1:4" x14ac:dyDescent="0.25">
      <c r="A369" s="5" t="s">
        <v>29</v>
      </c>
      <c r="B369" s="5" t="str">
        <f>Planilha1!B21</f>
        <v>Reallizi</v>
      </c>
      <c r="C369" s="5" t="str">
        <f>Planilha1!B11</f>
        <v>CELPE</v>
      </c>
      <c r="D369" s="6">
        <v>3104469.4078963771</v>
      </c>
    </row>
    <row r="370" spans="1:4" x14ac:dyDescent="0.25">
      <c r="A370" s="5" t="s">
        <v>29</v>
      </c>
      <c r="B370" s="5" t="str">
        <f>Planilha1!B21</f>
        <v>Reallizi</v>
      </c>
      <c r="C370" s="5" t="str">
        <f>Planilha1!B12</f>
        <v>COELBA</v>
      </c>
      <c r="D370" s="6">
        <v>3803876.5955417268</v>
      </c>
    </row>
    <row r="371" spans="1:4" x14ac:dyDescent="0.25">
      <c r="A371" s="5" t="s">
        <v>29</v>
      </c>
      <c r="B371" s="5" t="str">
        <f>Planilha1!B21</f>
        <v>Reallizi</v>
      </c>
      <c r="C371" s="5" t="str">
        <f>Planilha1!B13</f>
        <v>COSERN</v>
      </c>
      <c r="D371" s="6">
        <v>1148771.2892389961</v>
      </c>
    </row>
    <row r="372" spans="1:4" x14ac:dyDescent="0.25">
      <c r="A372" s="5" t="s">
        <v>29</v>
      </c>
      <c r="B372" s="5" t="str">
        <f>Planilha1!B21</f>
        <v>Reallizi</v>
      </c>
      <c r="C372" s="5" t="str">
        <f>Planilha1!B14</f>
        <v>ELEKTRO</v>
      </c>
      <c r="D372" s="6">
        <v>1694507.324801293</v>
      </c>
    </row>
    <row r="373" spans="1:4" x14ac:dyDescent="0.25">
      <c r="A373" s="5" t="s">
        <v>29</v>
      </c>
      <c r="B373" s="5" t="str">
        <f>Planilha1!B21</f>
        <v>Reallizi</v>
      </c>
      <c r="C373" s="5" t="str">
        <f>Planilha1!B15</f>
        <v>COPEL</v>
      </c>
      <c r="D373" s="6">
        <v>1124134.2478174961</v>
      </c>
    </row>
    <row r="374" spans="1:4" x14ac:dyDescent="0.25">
      <c r="A374" s="5" t="s">
        <v>29</v>
      </c>
      <c r="B374" s="5" t="str">
        <f>Planilha1!B22</f>
        <v>Corban</v>
      </c>
      <c r="C374" s="5" t="str">
        <f>Planilha1!B4</f>
        <v>ENEL CE</v>
      </c>
      <c r="D374" s="6">
        <v>2681982.5372258821</v>
      </c>
    </row>
    <row r="375" spans="1:4" x14ac:dyDescent="0.25">
      <c r="A375" s="5" t="s">
        <v>29</v>
      </c>
      <c r="B375" s="5" t="str">
        <f>Planilha1!B22</f>
        <v>Corban</v>
      </c>
      <c r="C375" s="5" t="str">
        <f>Planilha1!B5</f>
        <v>ENEL RJ</v>
      </c>
      <c r="D375" s="6">
        <v>1831098.7964409951</v>
      </c>
    </row>
    <row r="376" spans="1:4" x14ac:dyDescent="0.25">
      <c r="A376" s="5" t="s">
        <v>29</v>
      </c>
      <c r="B376" s="5" t="str">
        <f>Planilha1!B22</f>
        <v>Corban</v>
      </c>
      <c r="C376" s="5" t="str">
        <f>Planilha1!B6</f>
        <v>ENEL SP</v>
      </c>
      <c r="D376" s="6">
        <v>6937931.6499372497</v>
      </c>
    </row>
    <row r="377" spans="1:4" x14ac:dyDescent="0.25">
      <c r="A377" s="5" t="s">
        <v>29</v>
      </c>
      <c r="B377" s="5" t="str">
        <f>Planilha1!B22</f>
        <v>Corban</v>
      </c>
      <c r="C377" s="5" t="str">
        <f>Planilha1!B7</f>
        <v>CPFL PAULISTA</v>
      </c>
      <c r="D377" s="6">
        <v>6783859.3555500396</v>
      </c>
    </row>
    <row r="378" spans="1:4" x14ac:dyDescent="0.25">
      <c r="A378" s="5" t="s">
        <v>29</v>
      </c>
      <c r="B378" s="5" t="str">
        <f>Planilha1!B22</f>
        <v>Corban</v>
      </c>
      <c r="C378" s="5" t="str">
        <f>Planilha1!B8</f>
        <v>RGE</v>
      </c>
      <c r="D378" s="6">
        <v>4074152.461211259</v>
      </c>
    </row>
    <row r="379" spans="1:4" x14ac:dyDescent="0.25">
      <c r="A379" s="5" t="s">
        <v>29</v>
      </c>
      <c r="B379" s="5" t="str">
        <f>Planilha1!B22</f>
        <v>Corban</v>
      </c>
      <c r="C379" s="5" t="str">
        <f>Planilha1!B9</f>
        <v>CPFL SANTA CRUZ</v>
      </c>
      <c r="D379" s="6">
        <v>723312.74737335427</v>
      </c>
    </row>
    <row r="380" spans="1:4" x14ac:dyDescent="0.25">
      <c r="A380" s="5" t="s">
        <v>29</v>
      </c>
      <c r="B380" s="5" t="str">
        <f>Planilha1!B22</f>
        <v>Corban</v>
      </c>
      <c r="C380" s="5" t="str">
        <f>Planilha1!B10</f>
        <v>CPFL PIRATININGA</v>
      </c>
      <c r="D380" s="6">
        <v>2482685.9589488772</v>
      </c>
    </row>
    <row r="381" spans="1:4" x14ac:dyDescent="0.25">
      <c r="A381" s="5" t="s">
        <v>29</v>
      </c>
      <c r="B381" s="5" t="str">
        <f>Planilha1!B22</f>
        <v>Corban</v>
      </c>
      <c r="C381" s="5" t="str">
        <f>Planilha1!B11</f>
        <v>CELPE</v>
      </c>
      <c r="D381" s="6">
        <v>5026752.6062671645</v>
      </c>
    </row>
    <row r="382" spans="1:4" x14ac:dyDescent="0.25">
      <c r="A382" s="5" t="s">
        <v>29</v>
      </c>
      <c r="B382" s="5" t="str">
        <f>Planilha1!B22</f>
        <v>Corban</v>
      </c>
      <c r="C382" s="5" t="str">
        <f>Planilha1!B12</f>
        <v>COELBA</v>
      </c>
      <c r="D382" s="6">
        <v>6159231.7649909612</v>
      </c>
    </row>
    <row r="383" spans="1:4" x14ac:dyDescent="0.25">
      <c r="A383" s="5" t="s">
        <v>29</v>
      </c>
      <c r="B383" s="5" t="str">
        <f>Planilha1!B22</f>
        <v>Corban</v>
      </c>
      <c r="C383" s="5" t="str">
        <f>Planilha1!B13</f>
        <v>COSERN</v>
      </c>
      <c r="D383" s="6">
        <v>1860088.895544935</v>
      </c>
    </row>
    <row r="384" spans="1:4" x14ac:dyDescent="0.25">
      <c r="A384" s="5" t="s">
        <v>29</v>
      </c>
      <c r="B384" s="5" t="str">
        <f>Planilha1!B22</f>
        <v>Corban</v>
      </c>
      <c r="C384" s="5" t="str">
        <f>Planilha1!B14</f>
        <v>ELEKTRO</v>
      </c>
      <c r="D384" s="6">
        <v>2743743.9356361721</v>
      </c>
    </row>
    <row r="385" spans="1:4" x14ac:dyDescent="0.25">
      <c r="A385" s="5" t="s">
        <v>29</v>
      </c>
      <c r="B385" s="5" t="str">
        <f>Planilha1!B22</f>
        <v>Corban</v>
      </c>
      <c r="C385" s="5" t="str">
        <f>Planilha1!B15</f>
        <v>COPEL</v>
      </c>
      <c r="D385" s="6">
        <v>1820196.6318746179</v>
      </c>
    </row>
    <row r="386" spans="1:4" x14ac:dyDescent="0.25">
      <c r="A386" s="5" t="s">
        <v>29</v>
      </c>
      <c r="B386" s="5" t="str">
        <f>Planilha1!B23</f>
        <v>Lojas</v>
      </c>
      <c r="C386" s="5" t="str">
        <f>Planilha1!B4</f>
        <v>ENEL CE</v>
      </c>
      <c r="D386" s="6">
        <v>1277663.2816601491</v>
      </c>
    </row>
    <row r="387" spans="1:4" x14ac:dyDescent="0.25">
      <c r="A387" s="5" t="s">
        <v>29</v>
      </c>
      <c r="B387" s="5" t="str">
        <f>Planilha1!B23</f>
        <v>Lojas</v>
      </c>
      <c r="C387" s="5" t="str">
        <f>Planilha1!B5</f>
        <v>ENEL RJ</v>
      </c>
      <c r="D387" s="6">
        <v>872312.80026328925</v>
      </c>
    </row>
    <row r="388" spans="1:4" x14ac:dyDescent="0.25">
      <c r="A388" s="5" t="s">
        <v>29</v>
      </c>
      <c r="B388" s="5" t="str">
        <f>Planilha1!B23</f>
        <v>Lojas</v>
      </c>
      <c r="C388" s="5" t="str">
        <f>Planilha1!B6</f>
        <v>ENEL SP</v>
      </c>
      <c r="D388" s="6">
        <v>3305144.7564462889</v>
      </c>
    </row>
    <row r="389" spans="1:4" x14ac:dyDescent="0.25">
      <c r="A389" s="5" t="s">
        <v>29</v>
      </c>
      <c r="B389" s="5" t="str">
        <f>Planilha1!B23</f>
        <v>Lojas</v>
      </c>
      <c r="C389" s="5" t="str">
        <f>Planilha1!B7</f>
        <v>CPFL PAULISTA</v>
      </c>
      <c r="D389" s="6">
        <v>3231746.622592933</v>
      </c>
    </row>
    <row r="390" spans="1:4" x14ac:dyDescent="0.25">
      <c r="A390" s="5" t="s">
        <v>29</v>
      </c>
      <c r="B390" s="5" t="str">
        <f>Planilha1!B23</f>
        <v>Lojas</v>
      </c>
      <c r="C390" s="5" t="str">
        <f>Planilha1!B8</f>
        <v>RGE</v>
      </c>
      <c r="D390" s="6">
        <v>1940875.800391739</v>
      </c>
    </row>
    <row r="391" spans="1:4" x14ac:dyDescent="0.25">
      <c r="A391" s="5" t="s">
        <v>29</v>
      </c>
      <c r="B391" s="5" t="str">
        <f>Planilha1!B23</f>
        <v>Lojas</v>
      </c>
      <c r="C391" s="5" t="str">
        <f>Planilha1!B9</f>
        <v>CPFL SANTA CRUZ</v>
      </c>
      <c r="D391" s="6">
        <v>344577.23928044521</v>
      </c>
    </row>
    <row r="392" spans="1:4" x14ac:dyDescent="0.25">
      <c r="A392" s="5" t="s">
        <v>29</v>
      </c>
      <c r="B392" s="5" t="str">
        <f>Planilha1!B23</f>
        <v>Lojas</v>
      </c>
      <c r="C392" s="5" t="str">
        <f>Planilha1!B10</f>
        <v>CPFL PIRATININGA</v>
      </c>
      <c r="D392" s="6">
        <v>1182720.858773079</v>
      </c>
    </row>
    <row r="393" spans="1:4" x14ac:dyDescent="0.25">
      <c r="A393" s="5" t="s">
        <v>29</v>
      </c>
      <c r="B393" s="5" t="str">
        <f>Planilha1!B23</f>
        <v>Lojas</v>
      </c>
      <c r="C393" s="5" t="str">
        <f>Planilha1!B11</f>
        <v>CELPE</v>
      </c>
      <c r="D393" s="6">
        <v>2394682.7176809818</v>
      </c>
    </row>
    <row r="394" spans="1:4" x14ac:dyDescent="0.25">
      <c r="A394" s="5" t="s">
        <v>29</v>
      </c>
      <c r="B394" s="5" t="str">
        <f>Planilha1!B23</f>
        <v>Lojas</v>
      </c>
      <c r="C394" s="5" t="str">
        <f>Planilha1!B12</f>
        <v>COELBA</v>
      </c>
      <c r="D394" s="6">
        <v>2934181.7704389491</v>
      </c>
    </row>
    <row r="395" spans="1:4" x14ac:dyDescent="0.25">
      <c r="A395" s="5" t="s">
        <v>29</v>
      </c>
      <c r="B395" s="5" t="str">
        <f>Planilha1!B23</f>
        <v>Lojas</v>
      </c>
      <c r="C395" s="5" t="str">
        <f>Planilha1!B13</f>
        <v>COSERN</v>
      </c>
      <c r="D395" s="6">
        <v>886123.32462080638</v>
      </c>
    </row>
    <row r="396" spans="1:4" x14ac:dyDescent="0.25">
      <c r="A396" s="5" t="s">
        <v>29</v>
      </c>
      <c r="B396" s="5" t="str">
        <f>Planilha1!B23</f>
        <v>Lojas</v>
      </c>
      <c r="C396" s="5" t="str">
        <f>Planilha1!B14</f>
        <v>ELEKTRO</v>
      </c>
      <c r="D396" s="6">
        <v>1307085.6473458081</v>
      </c>
    </row>
    <row r="397" spans="1:4" x14ac:dyDescent="0.25">
      <c r="A397" s="5" t="s">
        <v>29</v>
      </c>
      <c r="B397" s="5" t="str">
        <f>Planilha1!B23</f>
        <v>Lojas</v>
      </c>
      <c r="C397" s="5" t="str">
        <f>Planilha1!B15</f>
        <v>COPEL</v>
      </c>
      <c r="D397" s="6">
        <v>867119.14401693491</v>
      </c>
    </row>
    <row r="398" spans="1:4" x14ac:dyDescent="0.25">
      <c r="A398" s="5" t="s">
        <v>29</v>
      </c>
      <c r="B398" s="5" t="str">
        <f>Planilha1!B24</f>
        <v>Canal Interno</v>
      </c>
      <c r="C398" s="5" t="str">
        <f>Planilha1!B4</f>
        <v>ENEL CE</v>
      </c>
      <c r="D398" s="6">
        <v>861325.77644330123</v>
      </c>
    </row>
    <row r="399" spans="1:4" x14ac:dyDescent="0.25">
      <c r="A399" s="5" t="s">
        <v>29</v>
      </c>
      <c r="B399" s="5" t="str">
        <f>Planilha1!B24</f>
        <v>Canal Interno</v>
      </c>
      <c r="C399" s="5" t="str">
        <f>Planilha1!B5</f>
        <v>ENEL RJ</v>
      </c>
      <c r="D399" s="6">
        <v>588062.2154312341</v>
      </c>
    </row>
    <row r="400" spans="1:4" x14ac:dyDescent="0.25">
      <c r="A400" s="5" t="s">
        <v>29</v>
      </c>
      <c r="B400" s="5" t="str">
        <f>Planilha1!B24</f>
        <v>Canal Interno</v>
      </c>
      <c r="C400" s="5" t="str">
        <f>Planilha1!B6</f>
        <v>ENEL SP</v>
      </c>
      <c r="D400" s="6">
        <v>2228135.076328225</v>
      </c>
    </row>
    <row r="401" spans="1:4" x14ac:dyDescent="0.25">
      <c r="A401" s="5" t="s">
        <v>29</v>
      </c>
      <c r="B401" s="5" t="str">
        <f>Planilha1!B24</f>
        <v>Canal Interno</v>
      </c>
      <c r="C401" s="5" t="str">
        <f>Planilha1!B7</f>
        <v>CPFL PAULISTA</v>
      </c>
      <c r="D401" s="6">
        <v>2178654.351994826</v>
      </c>
    </row>
    <row r="402" spans="1:4" x14ac:dyDescent="0.25">
      <c r="A402" s="5" t="s">
        <v>29</v>
      </c>
      <c r="B402" s="5" t="str">
        <f>Planilha1!B24</f>
        <v>Canal Interno</v>
      </c>
      <c r="C402" s="5" t="str">
        <f>Planilha1!B8</f>
        <v>RGE</v>
      </c>
      <c r="D402" s="6">
        <v>1308424.8250292109</v>
      </c>
    </row>
    <row r="403" spans="1:4" x14ac:dyDescent="0.25">
      <c r="A403" s="5" t="s">
        <v>29</v>
      </c>
      <c r="B403" s="5" t="str">
        <f>Planilha1!B24</f>
        <v>Canal Interno</v>
      </c>
      <c r="C403" s="5" t="str">
        <f>Planilha1!B9</f>
        <v>CPFL SANTA CRUZ</v>
      </c>
      <c r="D403" s="6">
        <v>232293.799491738</v>
      </c>
    </row>
    <row r="404" spans="1:4" x14ac:dyDescent="0.25">
      <c r="A404" s="5" t="s">
        <v>29</v>
      </c>
      <c r="B404" s="5" t="str">
        <f>Planilha1!B24</f>
        <v>Canal Interno</v>
      </c>
      <c r="C404" s="5" t="str">
        <f>Planilha1!B10</f>
        <v>CPFL PIRATININGA</v>
      </c>
      <c r="D404" s="6">
        <v>797321.15387611242</v>
      </c>
    </row>
    <row r="405" spans="1:4" x14ac:dyDescent="0.25">
      <c r="A405" s="5" t="s">
        <v>29</v>
      </c>
      <c r="B405" s="5" t="str">
        <f>Planilha1!B24</f>
        <v>Canal Interno</v>
      </c>
      <c r="C405" s="5" t="str">
        <f>Planilha1!B11</f>
        <v>CELPE</v>
      </c>
      <c r="D405" s="6">
        <v>1614354.8779627271</v>
      </c>
    </row>
    <row r="406" spans="1:4" x14ac:dyDescent="0.25">
      <c r="A406" s="5" t="s">
        <v>29</v>
      </c>
      <c r="B406" s="5" t="str">
        <f>Planilha1!B24</f>
        <v>Canal Interno</v>
      </c>
      <c r="C406" s="5" t="str">
        <f>Planilha1!B12</f>
        <v>COELBA</v>
      </c>
      <c r="D406" s="6">
        <v>1978053.5512965859</v>
      </c>
    </row>
    <row r="407" spans="1:4" x14ac:dyDescent="0.25">
      <c r="A407" s="5" t="s">
        <v>29</v>
      </c>
      <c r="B407" s="5" t="str">
        <f>Planilha1!B24</f>
        <v>Canal Interno</v>
      </c>
      <c r="C407" s="5" t="str">
        <f>Planilha1!B13</f>
        <v>COSERN</v>
      </c>
      <c r="D407" s="6">
        <v>597372.46233750123</v>
      </c>
    </row>
    <row r="408" spans="1:4" x14ac:dyDescent="0.25">
      <c r="A408" s="5" t="s">
        <v>29</v>
      </c>
      <c r="B408" s="5" t="str">
        <f>Planilha1!B24</f>
        <v>Canal Interno</v>
      </c>
      <c r="C408" s="5" t="str">
        <f>Planilha1!B14</f>
        <v>ELEKTRO</v>
      </c>
      <c r="D408" s="6">
        <v>881160.61268910009</v>
      </c>
    </row>
    <row r="409" spans="1:4" x14ac:dyDescent="0.25">
      <c r="A409" s="5" t="s">
        <v>29</v>
      </c>
      <c r="B409" s="5" t="str">
        <f>Planilha1!B24</f>
        <v>Canal Interno</v>
      </c>
      <c r="C409" s="5" t="str">
        <f>Planilha1!B15</f>
        <v>COPEL</v>
      </c>
      <c r="D409" s="6">
        <v>584560.95648203895</v>
      </c>
    </row>
    <row r="410" spans="1:4" x14ac:dyDescent="0.25">
      <c r="A410" s="5" t="s">
        <v>29</v>
      </c>
      <c r="B410" s="5" t="str">
        <f>Planilha1!B25</f>
        <v>Canal Digital</v>
      </c>
      <c r="C410" s="5" t="str">
        <f>Planilha1!B4</f>
        <v>ENEL CE</v>
      </c>
      <c r="D410" s="6">
        <v>148120.8137237865</v>
      </c>
    </row>
    <row r="411" spans="1:4" x14ac:dyDescent="0.25">
      <c r="A411" s="5" t="s">
        <v>29</v>
      </c>
      <c r="B411" s="5" t="str">
        <f>Planilha1!B25</f>
        <v>Canal Digital</v>
      </c>
      <c r="C411" s="5" t="str">
        <f>Planilha1!B5</f>
        <v>ENEL RJ</v>
      </c>
      <c r="D411" s="6">
        <v>101128.11697052571</v>
      </c>
    </row>
    <row r="412" spans="1:4" x14ac:dyDescent="0.25">
      <c r="A412" s="5" t="s">
        <v>29</v>
      </c>
      <c r="B412" s="5" t="str">
        <f>Planilha1!B25</f>
        <v>Canal Digital</v>
      </c>
      <c r="C412" s="5" t="str">
        <f>Planilha1!B6</f>
        <v>ENEL SP</v>
      </c>
      <c r="D412" s="6">
        <v>383168.81906758191</v>
      </c>
    </row>
    <row r="413" spans="1:4" x14ac:dyDescent="0.25">
      <c r="A413" s="5" t="s">
        <v>29</v>
      </c>
      <c r="B413" s="5" t="str">
        <f>Planilha1!B25</f>
        <v>Canal Digital</v>
      </c>
      <c r="C413" s="5" t="str">
        <f>Planilha1!B7</f>
        <v>CPFL PAULISTA</v>
      </c>
      <c r="D413" s="6">
        <v>374659.69818399497</v>
      </c>
    </row>
    <row r="414" spans="1:4" x14ac:dyDescent="0.25">
      <c r="A414" s="5" t="s">
        <v>29</v>
      </c>
      <c r="B414" s="5" t="str">
        <f>Planilha1!B25</f>
        <v>Canal Digital</v>
      </c>
      <c r="C414" s="5" t="str">
        <f>Planilha1!B8</f>
        <v>RGE</v>
      </c>
      <c r="D414" s="6">
        <v>225007.72074883731</v>
      </c>
    </row>
    <row r="415" spans="1:4" x14ac:dyDescent="0.25">
      <c r="A415" s="5" t="s">
        <v>29</v>
      </c>
      <c r="B415" s="5" t="str">
        <f>Planilha1!B25</f>
        <v>Canal Digital</v>
      </c>
      <c r="C415" s="5" t="str">
        <f>Planilha1!B9</f>
        <v>CPFL SANTA CRUZ</v>
      </c>
      <c r="D415" s="6">
        <v>39947.192508026958</v>
      </c>
    </row>
    <row r="416" spans="1:4" x14ac:dyDescent="0.25">
      <c r="A416" s="5" t="s">
        <v>29</v>
      </c>
      <c r="B416" s="5" t="str">
        <f>Planilha1!B25</f>
        <v>Canal Digital</v>
      </c>
      <c r="C416" s="5" t="str">
        <f>Planilha1!B10</f>
        <v>CPFL PIRATININGA</v>
      </c>
      <c r="D416" s="6">
        <v>137114.0413317148</v>
      </c>
    </row>
    <row r="417" spans="1:4" x14ac:dyDescent="0.25">
      <c r="A417" s="5" t="s">
        <v>29</v>
      </c>
      <c r="B417" s="5" t="str">
        <f>Planilha1!B25</f>
        <v>Canal Digital</v>
      </c>
      <c r="C417" s="5" t="str">
        <f>Planilha1!B11</f>
        <v>CELPE</v>
      </c>
      <c r="D417" s="6">
        <v>277618.02177824848</v>
      </c>
    </row>
    <row r="418" spans="1:4" x14ac:dyDescent="0.25">
      <c r="A418" s="5" t="s">
        <v>29</v>
      </c>
      <c r="B418" s="5" t="str">
        <f>Planilha1!B25</f>
        <v>Canal Digital</v>
      </c>
      <c r="C418" s="5" t="str">
        <f>Planilha1!B12</f>
        <v>COELBA</v>
      </c>
      <c r="D418" s="6">
        <v>340162.69989867508</v>
      </c>
    </row>
    <row r="419" spans="1:4" x14ac:dyDescent="0.25">
      <c r="A419" s="5" t="s">
        <v>29</v>
      </c>
      <c r="B419" s="5" t="str">
        <f>Planilha1!B25</f>
        <v>Canal Digital</v>
      </c>
      <c r="C419" s="5" t="str">
        <f>Planilha1!B13</f>
        <v>COSERN</v>
      </c>
      <c r="D419" s="6">
        <v>102729.18521374049</v>
      </c>
    </row>
    <row r="420" spans="1:4" x14ac:dyDescent="0.25">
      <c r="A420" s="5" t="s">
        <v>29</v>
      </c>
      <c r="B420" s="5" t="str">
        <f>Planilha1!B25</f>
        <v>Canal Digital</v>
      </c>
      <c r="C420" s="5" t="str">
        <f>Planilha1!B14</f>
        <v>ELEKTRO</v>
      </c>
      <c r="D420" s="6">
        <v>151531.7787327957</v>
      </c>
    </row>
    <row r="421" spans="1:4" x14ac:dyDescent="0.25">
      <c r="A421" s="5" t="s">
        <v>29</v>
      </c>
      <c r="B421" s="5" t="str">
        <f>Planilha1!B25</f>
        <v>Canal Digital</v>
      </c>
      <c r="C421" s="5" t="str">
        <f>Planilha1!B15</f>
        <v>COPEL</v>
      </c>
      <c r="D421" s="6">
        <v>100526.011078892</v>
      </c>
    </row>
    <row r="422" spans="1:4" x14ac:dyDescent="0.25">
      <c r="A422" s="5" t="s">
        <v>30</v>
      </c>
      <c r="B422" s="5" t="str">
        <f>Planilha1!B21</f>
        <v>Reallizi</v>
      </c>
      <c r="C422" s="5" t="str">
        <f>Planilha1!B4</f>
        <v>ENEL CE</v>
      </c>
      <c r="D422" s="6">
        <v>1534171.3622743911</v>
      </c>
    </row>
    <row r="423" spans="1:4" x14ac:dyDescent="0.25">
      <c r="A423" s="5" t="s">
        <v>30</v>
      </c>
      <c r="B423" s="5" t="str">
        <f>Planilha1!B21</f>
        <v>Reallizi</v>
      </c>
      <c r="C423" s="5" t="str">
        <f>Planilha1!B5</f>
        <v>ENEL RJ</v>
      </c>
      <c r="D423" s="6">
        <v>1047441.322231952</v>
      </c>
    </row>
    <row r="424" spans="1:4" x14ac:dyDescent="0.25">
      <c r="A424" s="5" t="s">
        <v>30</v>
      </c>
      <c r="B424" s="5" t="str">
        <f>Planilha1!B21</f>
        <v>Reallizi</v>
      </c>
      <c r="C424" s="5" t="str">
        <f>Planilha1!B6</f>
        <v>ENEL SP</v>
      </c>
      <c r="D424" s="6">
        <v>3968697.0004511969</v>
      </c>
    </row>
    <row r="425" spans="1:4" x14ac:dyDescent="0.25">
      <c r="A425" s="5" t="s">
        <v>30</v>
      </c>
      <c r="B425" s="5" t="str">
        <f>Planilha1!B21</f>
        <v>Reallizi</v>
      </c>
      <c r="C425" s="5" t="str">
        <f>Planilha1!B7</f>
        <v>CPFL PAULISTA</v>
      </c>
      <c r="D425" s="6">
        <v>5530071.3639403693</v>
      </c>
    </row>
    <row r="426" spans="1:4" x14ac:dyDescent="0.25">
      <c r="A426" s="5" t="s">
        <v>30</v>
      </c>
      <c r="B426" s="5" t="str">
        <f>Planilha1!B21</f>
        <v>Reallizi</v>
      </c>
      <c r="C426" s="5" t="str">
        <f>Planilha1!B8</f>
        <v>RGE</v>
      </c>
      <c r="D426" s="6">
        <v>3321170.5427882718</v>
      </c>
    </row>
    <row r="427" spans="1:4" x14ac:dyDescent="0.25">
      <c r="A427" s="5" t="s">
        <v>30</v>
      </c>
      <c r="B427" s="5" t="str">
        <f>Planilha1!B21</f>
        <v>Reallizi</v>
      </c>
      <c r="C427" s="5" t="str">
        <f>Planilha1!B9</f>
        <v>CPFL SANTA CRUZ</v>
      </c>
      <c r="D427" s="6">
        <v>589630.60726633947</v>
      </c>
    </row>
    <row r="428" spans="1:4" x14ac:dyDescent="0.25">
      <c r="A428" s="5" t="s">
        <v>30</v>
      </c>
      <c r="B428" s="5" t="str">
        <f>Planilha1!B21</f>
        <v>Reallizi</v>
      </c>
      <c r="C428" s="5" t="str">
        <f>Planilha1!B10</f>
        <v>CPFL PIRATININGA</v>
      </c>
      <c r="D428" s="6">
        <v>2023837.731247721</v>
      </c>
    </row>
    <row r="429" spans="1:4" x14ac:dyDescent="0.25">
      <c r="A429" s="5" t="s">
        <v>30</v>
      </c>
      <c r="B429" s="5" t="str">
        <f>Planilha1!B21</f>
        <v>Reallizi</v>
      </c>
      <c r="C429" s="5" t="str">
        <f>Planilha1!B11</f>
        <v>CELPE</v>
      </c>
      <c r="D429" s="6">
        <v>2875447.4672120968</v>
      </c>
    </row>
    <row r="430" spans="1:4" x14ac:dyDescent="0.25">
      <c r="A430" s="5" t="s">
        <v>30</v>
      </c>
      <c r="B430" s="5" t="str">
        <f>Planilha1!B21</f>
        <v>Reallizi</v>
      </c>
      <c r="C430" s="5" t="str">
        <f>Planilha1!B12</f>
        <v>COELBA</v>
      </c>
      <c r="D430" s="6">
        <v>3523258.2078009471</v>
      </c>
    </row>
    <row r="431" spans="1:4" x14ac:dyDescent="0.25">
      <c r="A431" s="5" t="s">
        <v>30</v>
      </c>
      <c r="B431" s="5" t="str">
        <f>Planilha1!B21</f>
        <v>Reallizi</v>
      </c>
      <c r="C431" s="5" t="str">
        <f>Planilha1!B13</f>
        <v>COSERN</v>
      </c>
      <c r="D431" s="6">
        <v>1064024.4950220189</v>
      </c>
    </row>
    <row r="432" spans="1:4" x14ac:dyDescent="0.25">
      <c r="A432" s="5" t="s">
        <v>30</v>
      </c>
      <c r="B432" s="5" t="str">
        <f>Planilha1!B21</f>
        <v>Reallizi</v>
      </c>
      <c r="C432" s="5" t="str">
        <f>Planilha1!B14</f>
        <v>ELEKTRO</v>
      </c>
      <c r="D432" s="6">
        <v>1569500.6634237941</v>
      </c>
    </row>
    <row r="433" spans="1:4" x14ac:dyDescent="0.25">
      <c r="A433" s="5" t="s">
        <v>30</v>
      </c>
      <c r="B433" s="5" t="str">
        <f>Planilha1!B21</f>
        <v>Reallizi</v>
      </c>
      <c r="C433" s="5" t="str">
        <f>Planilha1!B15</f>
        <v>COPEL</v>
      </c>
      <c r="D433" s="6">
        <v>1170280.924637001</v>
      </c>
    </row>
    <row r="434" spans="1:4" x14ac:dyDescent="0.25">
      <c r="A434" s="5" t="s">
        <v>30</v>
      </c>
      <c r="B434" s="5" t="str">
        <f>Planilha1!B22</f>
        <v>Corban</v>
      </c>
      <c r="C434" s="5" t="str">
        <f>Planilha1!B4</f>
        <v>ENEL CE</v>
      </c>
      <c r="D434" s="6">
        <v>2484128.1650763419</v>
      </c>
    </row>
    <row r="435" spans="1:4" x14ac:dyDescent="0.25">
      <c r="A435" s="5" t="s">
        <v>30</v>
      </c>
      <c r="B435" s="5" t="str">
        <f>Planilha1!B22</f>
        <v>Corban</v>
      </c>
      <c r="C435" s="5" t="str">
        <f>Planilha1!B5</f>
        <v>ENEL RJ</v>
      </c>
      <c r="D435" s="6">
        <v>1696015.551980969</v>
      </c>
    </row>
    <row r="436" spans="1:4" x14ac:dyDescent="0.25">
      <c r="A436" s="5" t="s">
        <v>30</v>
      </c>
      <c r="B436" s="5" t="str">
        <f>Planilha1!B22</f>
        <v>Corban</v>
      </c>
      <c r="C436" s="5" t="str">
        <f>Planilha1!B6</f>
        <v>ENEL SP</v>
      </c>
      <c r="D436" s="6">
        <v>6426108.7385044983</v>
      </c>
    </row>
    <row r="437" spans="1:4" x14ac:dyDescent="0.25">
      <c r="A437" s="5" t="s">
        <v>30</v>
      </c>
      <c r="B437" s="5" t="str">
        <f>Planilha1!B22</f>
        <v>Corban</v>
      </c>
      <c r="C437" s="5" t="str">
        <f>Planilha1!B7</f>
        <v>CPFL PAULISTA</v>
      </c>
      <c r="D437" s="6">
        <v>8954283.9658282213</v>
      </c>
    </row>
    <row r="438" spans="1:4" x14ac:dyDescent="0.25">
      <c r="A438" s="5" t="s">
        <v>30</v>
      </c>
      <c r="B438" s="5" t="str">
        <f>Planilha1!B22</f>
        <v>Corban</v>
      </c>
      <c r="C438" s="5" t="str">
        <f>Planilha1!B8</f>
        <v>RGE</v>
      </c>
      <c r="D438" s="6">
        <v>5377634.7865934521</v>
      </c>
    </row>
    <row r="439" spans="1:4" x14ac:dyDescent="0.25">
      <c r="A439" s="5" t="s">
        <v>30</v>
      </c>
      <c r="B439" s="5" t="str">
        <f>Planilha1!B22</f>
        <v>Corban</v>
      </c>
      <c r="C439" s="5" t="str">
        <f>Planilha1!B9</f>
        <v>CPFL SANTA CRUZ</v>
      </c>
      <c r="D439" s="6">
        <v>954729.07037578535</v>
      </c>
    </row>
    <row r="440" spans="1:4" x14ac:dyDescent="0.25">
      <c r="A440" s="5" t="s">
        <v>30</v>
      </c>
      <c r="B440" s="5" t="str">
        <f>Planilha1!B22</f>
        <v>Corban</v>
      </c>
      <c r="C440" s="5" t="str">
        <f>Planilha1!B10</f>
        <v>CPFL PIRATININGA</v>
      </c>
      <c r="D440" s="6">
        <v>3276995.277948285</v>
      </c>
    </row>
    <row r="441" spans="1:4" x14ac:dyDescent="0.25">
      <c r="A441" s="5" t="s">
        <v>30</v>
      </c>
      <c r="B441" s="5" t="str">
        <f>Planilha1!B22</f>
        <v>Corban</v>
      </c>
      <c r="C441" s="5" t="str">
        <f>Planilha1!B11</f>
        <v>CELPE</v>
      </c>
      <c r="D441" s="6">
        <v>4655920.5941047026</v>
      </c>
    </row>
    <row r="442" spans="1:4" x14ac:dyDescent="0.25">
      <c r="A442" s="5" t="s">
        <v>30</v>
      </c>
      <c r="B442" s="5" t="str">
        <f>Planilha1!B22</f>
        <v>Corban</v>
      </c>
      <c r="C442" s="5" t="str">
        <f>Planilha1!B12</f>
        <v>COELBA</v>
      </c>
      <c r="D442" s="6">
        <v>5704854.8565394012</v>
      </c>
    </row>
    <row r="443" spans="1:4" x14ac:dyDescent="0.25">
      <c r="A443" s="5" t="s">
        <v>30</v>
      </c>
      <c r="B443" s="5" t="str">
        <f>Planilha1!B22</f>
        <v>Corban</v>
      </c>
      <c r="C443" s="5" t="str">
        <f>Planilha1!B13</f>
        <v>COSERN</v>
      </c>
      <c r="D443" s="6">
        <v>1722867.002612314</v>
      </c>
    </row>
    <row r="444" spans="1:4" x14ac:dyDescent="0.25">
      <c r="A444" s="5" t="s">
        <v>30</v>
      </c>
      <c r="B444" s="5" t="str">
        <f>Planilha1!B22</f>
        <v>Corban</v>
      </c>
      <c r="C444" s="5" t="str">
        <f>Planilha1!B14</f>
        <v>ELEKTRO</v>
      </c>
      <c r="D444" s="6">
        <v>2541333.321029448</v>
      </c>
    </row>
    <row r="445" spans="1:4" x14ac:dyDescent="0.25">
      <c r="A445" s="5" t="s">
        <v>30</v>
      </c>
      <c r="B445" s="5" t="str">
        <f>Planilha1!B22</f>
        <v>Corban</v>
      </c>
      <c r="C445" s="5" t="str">
        <f>Planilha1!B15</f>
        <v>COPEL</v>
      </c>
      <c r="D445" s="6">
        <v>1894917.2676724831</v>
      </c>
    </row>
    <row r="446" spans="1:4" x14ac:dyDescent="0.25">
      <c r="A446" s="5" t="s">
        <v>30</v>
      </c>
      <c r="B446" s="5" t="str">
        <f>Planilha1!B23</f>
        <v>Lojas</v>
      </c>
      <c r="C446" s="5" t="str">
        <f>Planilha1!B4</f>
        <v>ENEL CE</v>
      </c>
      <c r="D446" s="6">
        <v>1183407.907919772</v>
      </c>
    </row>
    <row r="447" spans="1:4" x14ac:dyDescent="0.25">
      <c r="A447" s="5" t="s">
        <v>30</v>
      </c>
      <c r="B447" s="5" t="str">
        <f>Planilha1!B23</f>
        <v>Lojas</v>
      </c>
      <c r="C447" s="5" t="str">
        <f>Planilha1!B5</f>
        <v>ENEL RJ</v>
      </c>
      <c r="D447" s="6">
        <v>807960.81473820156</v>
      </c>
    </row>
    <row r="448" spans="1:4" x14ac:dyDescent="0.25">
      <c r="A448" s="5" t="s">
        <v>30</v>
      </c>
      <c r="B448" s="5" t="str">
        <f>Planilha1!B23</f>
        <v>Lojas</v>
      </c>
      <c r="C448" s="5" t="str">
        <f>Planilha1!B6</f>
        <v>ENEL SP</v>
      </c>
      <c r="D448" s="6">
        <v>3061318.6570689138</v>
      </c>
    </row>
    <row r="449" spans="1:4" x14ac:dyDescent="0.25">
      <c r="A449" s="5" t="s">
        <v>30</v>
      </c>
      <c r="B449" s="5" t="str">
        <f>Planilha1!B23</f>
        <v>Lojas</v>
      </c>
      <c r="C449" s="5" t="str">
        <f>Planilha1!B7</f>
        <v>CPFL PAULISTA</v>
      </c>
      <c r="D449" s="6">
        <v>4265710.0402042586</v>
      </c>
    </row>
    <row r="450" spans="1:4" x14ac:dyDescent="0.25">
      <c r="A450" s="5" t="s">
        <v>30</v>
      </c>
      <c r="B450" s="5" t="str">
        <f>Planilha1!B23</f>
        <v>Lojas</v>
      </c>
      <c r="C450" s="5" t="str">
        <f>Planilha1!B8</f>
        <v>RGE</v>
      </c>
      <c r="D450" s="6">
        <v>2561838.6449732841</v>
      </c>
    </row>
    <row r="451" spans="1:4" x14ac:dyDescent="0.25">
      <c r="A451" s="5" t="s">
        <v>30</v>
      </c>
      <c r="B451" s="5" t="str">
        <f>Planilha1!B23</f>
        <v>Lojas</v>
      </c>
      <c r="C451" s="5" t="str">
        <f>Planilha1!B9</f>
        <v>CPFL SANTA CRUZ</v>
      </c>
      <c r="D451" s="6">
        <v>454821.1109586106</v>
      </c>
    </row>
    <row r="452" spans="1:4" x14ac:dyDescent="0.25">
      <c r="A452" s="5" t="s">
        <v>30</v>
      </c>
      <c r="B452" s="5" t="str">
        <f>Planilha1!B23</f>
        <v>Lojas</v>
      </c>
      <c r="C452" s="5" t="str">
        <f>Planilha1!B10</f>
        <v>CPFL PIRATININGA</v>
      </c>
      <c r="D452" s="6">
        <v>1561119.9859410529</v>
      </c>
    </row>
    <row r="453" spans="1:4" x14ac:dyDescent="0.25">
      <c r="A453" s="5" t="s">
        <v>30</v>
      </c>
      <c r="B453" s="5" t="str">
        <f>Planilha1!B23</f>
        <v>Lojas</v>
      </c>
      <c r="C453" s="5" t="str">
        <f>Planilha1!B11</f>
        <v>CELPE</v>
      </c>
      <c r="D453" s="6">
        <v>2218022.937452062</v>
      </c>
    </row>
    <row r="454" spans="1:4" x14ac:dyDescent="0.25">
      <c r="A454" s="5" t="s">
        <v>30</v>
      </c>
      <c r="B454" s="5" t="str">
        <f>Planilha1!B23</f>
        <v>Lojas</v>
      </c>
      <c r="C454" s="5" t="str">
        <f>Planilha1!B12</f>
        <v>COELBA</v>
      </c>
      <c r="D454" s="6">
        <v>2717722.2357831788</v>
      </c>
    </row>
    <row r="455" spans="1:4" x14ac:dyDescent="0.25">
      <c r="A455" s="5" t="s">
        <v>30</v>
      </c>
      <c r="B455" s="5" t="str">
        <f>Planilha1!B23</f>
        <v>Lojas</v>
      </c>
      <c r="C455" s="5" t="str">
        <f>Planilha1!B13</f>
        <v>COSERN</v>
      </c>
      <c r="D455" s="6">
        <v>820752.5134367568</v>
      </c>
    </row>
    <row r="456" spans="1:4" x14ac:dyDescent="0.25">
      <c r="A456" s="5" t="s">
        <v>30</v>
      </c>
      <c r="B456" s="5" t="str">
        <f>Planilha1!B23</f>
        <v>Lojas</v>
      </c>
      <c r="C456" s="5" t="str">
        <f>Planilha1!B14</f>
        <v>ELEKTRO</v>
      </c>
      <c r="D456" s="6">
        <v>1210659.7360985361</v>
      </c>
    </row>
    <row r="457" spans="1:4" x14ac:dyDescent="0.25">
      <c r="A457" s="5" t="s">
        <v>30</v>
      </c>
      <c r="B457" s="5" t="str">
        <f>Planilha1!B23</f>
        <v>Lojas</v>
      </c>
      <c r="C457" s="5" t="str">
        <f>Planilha1!B15</f>
        <v>COPEL</v>
      </c>
      <c r="D457" s="6">
        <v>902715.12997737306</v>
      </c>
    </row>
    <row r="458" spans="1:4" x14ac:dyDescent="0.25">
      <c r="A458" s="5" t="s">
        <v>30</v>
      </c>
      <c r="B458" s="5" t="str">
        <f>Planilha1!B24</f>
        <v>Canal Interno</v>
      </c>
      <c r="C458" s="5" t="str">
        <f>Planilha1!B4</f>
        <v>ENEL CE</v>
      </c>
      <c r="D458" s="6">
        <v>797784.32218361902</v>
      </c>
    </row>
    <row r="459" spans="1:4" x14ac:dyDescent="0.25">
      <c r="A459" s="5" t="s">
        <v>30</v>
      </c>
      <c r="B459" s="5" t="str">
        <f>Planilha1!B24</f>
        <v>Canal Interno</v>
      </c>
      <c r="C459" s="5" t="str">
        <f>Planilha1!B5</f>
        <v>ENEL RJ</v>
      </c>
      <c r="D459" s="6">
        <v>544679.87464263174</v>
      </c>
    </row>
    <row r="460" spans="1:4" x14ac:dyDescent="0.25">
      <c r="A460" s="5" t="s">
        <v>30</v>
      </c>
      <c r="B460" s="5" t="str">
        <f>Planilha1!B24</f>
        <v>Canal Interno</v>
      </c>
      <c r="C460" s="5" t="str">
        <f>Planilha1!B6</f>
        <v>ENEL SP</v>
      </c>
      <c r="D460" s="6">
        <v>2063761.7963115401</v>
      </c>
    </row>
    <row r="461" spans="1:4" x14ac:dyDescent="0.25">
      <c r="A461" s="5" t="s">
        <v>30</v>
      </c>
      <c r="B461" s="5" t="str">
        <f>Planilha1!B24</f>
        <v>Canal Interno</v>
      </c>
      <c r="C461" s="5" t="str">
        <f>Planilha1!B7</f>
        <v>CPFL PAULISTA</v>
      </c>
      <c r="D461" s="6">
        <v>2875691.9488887871</v>
      </c>
    </row>
    <row r="462" spans="1:4" x14ac:dyDescent="0.25">
      <c r="A462" s="5" t="s">
        <v>30</v>
      </c>
      <c r="B462" s="5" t="str">
        <f>Planilha1!B24</f>
        <v>Canal Interno</v>
      </c>
      <c r="C462" s="5" t="str">
        <f>Planilha1!B8</f>
        <v>RGE</v>
      </c>
      <c r="D462" s="6">
        <v>1727041.6170502461</v>
      </c>
    </row>
    <row r="463" spans="1:4" x14ac:dyDescent="0.25">
      <c r="A463" s="5" t="s">
        <v>30</v>
      </c>
      <c r="B463" s="5" t="str">
        <f>Planilha1!B24</f>
        <v>Canal Interno</v>
      </c>
      <c r="C463" s="5" t="str">
        <f>Planilha1!B9</f>
        <v>CPFL SANTA CRUZ</v>
      </c>
      <c r="D463" s="6">
        <v>306613.76292367541</v>
      </c>
    </row>
    <row r="464" spans="1:4" x14ac:dyDescent="0.25">
      <c r="A464" s="5" t="s">
        <v>30</v>
      </c>
      <c r="B464" s="5" t="str">
        <f>Planilha1!B24</f>
        <v>Canal Interno</v>
      </c>
      <c r="C464" s="5" t="str">
        <f>Planilha1!B10</f>
        <v>CPFL PIRATININGA</v>
      </c>
      <c r="D464" s="6">
        <v>1052415.689887139</v>
      </c>
    </row>
    <row r="465" spans="1:4" x14ac:dyDescent="0.25">
      <c r="A465" s="5" t="s">
        <v>30</v>
      </c>
      <c r="B465" s="5" t="str">
        <f>Planilha1!B24</f>
        <v>Canal Interno</v>
      </c>
      <c r="C465" s="5" t="str">
        <f>Planilha1!B11</f>
        <v>CELPE</v>
      </c>
      <c r="D465" s="6">
        <v>1495261.1976823751</v>
      </c>
    </row>
    <row r="466" spans="1:4" x14ac:dyDescent="0.25">
      <c r="A466" s="5" t="s">
        <v>30</v>
      </c>
      <c r="B466" s="5" t="str">
        <f>Planilha1!B24</f>
        <v>Canal Interno</v>
      </c>
      <c r="C466" s="5" t="str">
        <f>Planilha1!B12</f>
        <v>COELBA</v>
      </c>
      <c r="D466" s="6">
        <v>1832129.2068842771</v>
      </c>
    </row>
    <row r="467" spans="1:4" x14ac:dyDescent="0.25">
      <c r="A467" s="5" t="s">
        <v>30</v>
      </c>
      <c r="B467" s="5" t="str">
        <f>Planilha1!B24</f>
        <v>Canal Interno</v>
      </c>
      <c r="C467" s="5" t="str">
        <f>Planilha1!B13</f>
        <v>COSERN</v>
      </c>
      <c r="D467" s="6">
        <v>553303.28894256032</v>
      </c>
    </row>
    <row r="468" spans="1:4" x14ac:dyDescent="0.25">
      <c r="A468" s="5" t="s">
        <v>30</v>
      </c>
      <c r="B468" s="5" t="str">
        <f>Planilha1!B24</f>
        <v>Canal Interno</v>
      </c>
      <c r="C468" s="5" t="str">
        <f>Planilha1!B14</f>
        <v>ELEKTRO</v>
      </c>
      <c r="D468" s="6">
        <v>816155.90912871284</v>
      </c>
    </row>
    <row r="469" spans="1:4" x14ac:dyDescent="0.25">
      <c r="A469" s="5" t="s">
        <v>30</v>
      </c>
      <c r="B469" s="5" t="str">
        <f>Planilha1!B24</f>
        <v>Canal Interno</v>
      </c>
      <c r="C469" s="5" t="str">
        <f>Planilha1!B15</f>
        <v>COPEL</v>
      </c>
      <c r="D469" s="6">
        <v>608557.68604743783</v>
      </c>
    </row>
    <row r="470" spans="1:4" x14ac:dyDescent="0.25">
      <c r="A470" s="5" t="s">
        <v>30</v>
      </c>
      <c r="B470" s="5" t="str">
        <f>Planilha1!B25</f>
        <v>Canal Digital</v>
      </c>
      <c r="C470" s="5" t="str">
        <f>Planilha1!B4</f>
        <v>ENEL CE</v>
      </c>
      <c r="D470" s="6">
        <v>137193.69164344919</v>
      </c>
    </row>
    <row r="471" spans="1:4" x14ac:dyDescent="0.25">
      <c r="A471" s="5" t="s">
        <v>30</v>
      </c>
      <c r="B471" s="5" t="str">
        <f>Planilha1!B25</f>
        <v>Canal Digital</v>
      </c>
      <c r="C471" s="5" t="str">
        <f>Planilha1!B5</f>
        <v>ENEL RJ</v>
      </c>
      <c r="D471" s="6">
        <v>93667.725334059127</v>
      </c>
    </row>
    <row r="472" spans="1:4" x14ac:dyDescent="0.25">
      <c r="A472" s="5" t="s">
        <v>30</v>
      </c>
      <c r="B472" s="5" t="str">
        <f>Planilha1!B25</f>
        <v>Canal Digital</v>
      </c>
      <c r="C472" s="5" t="str">
        <f>Planilha1!B6</f>
        <v>ENEL SP</v>
      </c>
      <c r="D472" s="6">
        <v>354901.80946866173</v>
      </c>
    </row>
    <row r="473" spans="1:4" x14ac:dyDescent="0.25">
      <c r="A473" s="5" t="s">
        <v>30</v>
      </c>
      <c r="B473" s="5" t="str">
        <f>Planilha1!B25</f>
        <v>Canal Digital</v>
      </c>
      <c r="C473" s="5" t="str">
        <f>Planilha1!B7</f>
        <v>CPFL PAULISTA</v>
      </c>
      <c r="D473" s="6">
        <v>494528.13689987862</v>
      </c>
    </row>
    <row r="474" spans="1:4" x14ac:dyDescent="0.25">
      <c r="A474" s="5" t="s">
        <v>30</v>
      </c>
      <c r="B474" s="5" t="str">
        <f>Planilha1!B25</f>
        <v>Canal Digital</v>
      </c>
      <c r="C474" s="5" t="str">
        <f>Planilha1!B8</f>
        <v>RGE</v>
      </c>
      <c r="D474" s="6">
        <v>296996.5797478545</v>
      </c>
    </row>
    <row r="475" spans="1:4" x14ac:dyDescent="0.25">
      <c r="A475" s="5" t="s">
        <v>30</v>
      </c>
      <c r="B475" s="5" t="str">
        <f>Planilha1!B25</f>
        <v>Canal Digital</v>
      </c>
      <c r="C475" s="5" t="str">
        <f>Planilha1!B9</f>
        <v>CPFL SANTA CRUZ</v>
      </c>
      <c r="D475" s="6">
        <v>52727.87754095086</v>
      </c>
    </row>
    <row r="476" spans="1:4" x14ac:dyDescent="0.25">
      <c r="A476" s="5" t="s">
        <v>30</v>
      </c>
      <c r="B476" s="5" t="str">
        <f>Planilha1!B25</f>
        <v>Canal Digital</v>
      </c>
      <c r="C476" s="5" t="str">
        <f>Planilha1!B10</f>
        <v>CPFL PIRATININGA</v>
      </c>
      <c r="D476" s="6">
        <v>180982.23996669651</v>
      </c>
    </row>
    <row r="477" spans="1:4" x14ac:dyDescent="0.25">
      <c r="A477" s="5" t="s">
        <v>30</v>
      </c>
      <c r="B477" s="5" t="str">
        <f>Planilha1!B25</f>
        <v>Canal Digital</v>
      </c>
      <c r="C477" s="5" t="str">
        <f>Planilha1!B11</f>
        <v>CELPE</v>
      </c>
      <c r="D477" s="6">
        <v>257137.67239717059</v>
      </c>
    </row>
    <row r="478" spans="1:4" x14ac:dyDescent="0.25">
      <c r="A478" s="5" t="s">
        <v>30</v>
      </c>
      <c r="B478" s="5" t="str">
        <f>Planilha1!B25</f>
        <v>Canal Digital</v>
      </c>
      <c r="C478" s="5" t="str">
        <f>Planilha1!B12</f>
        <v>COELBA</v>
      </c>
      <c r="D478" s="6">
        <v>315068.32419600489</v>
      </c>
    </row>
    <row r="479" spans="1:4" x14ac:dyDescent="0.25">
      <c r="A479" s="5" t="s">
        <v>30</v>
      </c>
      <c r="B479" s="5" t="str">
        <f>Planilha1!B25</f>
        <v>Canal Digital</v>
      </c>
      <c r="C479" s="5" t="str">
        <f>Planilha1!B13</f>
        <v>COSERN</v>
      </c>
      <c r="D479" s="6">
        <v>95150.680074432967</v>
      </c>
    </row>
    <row r="480" spans="1:4" x14ac:dyDescent="0.25">
      <c r="A480" s="5" t="s">
        <v>30</v>
      </c>
      <c r="B480" s="5" t="str">
        <f>Planilha1!B25</f>
        <v>Canal Digital</v>
      </c>
      <c r="C480" s="5" t="str">
        <f>Planilha1!B14</f>
        <v>ELEKTRO</v>
      </c>
      <c r="D480" s="6">
        <v>140353.0240146936</v>
      </c>
    </row>
    <row r="481" spans="1:4" x14ac:dyDescent="0.25">
      <c r="A481" s="5" t="s">
        <v>30</v>
      </c>
      <c r="B481" s="5" t="str">
        <f>Planilha1!B25</f>
        <v>Canal Digital</v>
      </c>
      <c r="C481" s="5" t="str">
        <f>Planilha1!B15</f>
        <v>COPEL</v>
      </c>
      <c r="D481" s="6">
        <v>104652.6902137178</v>
      </c>
    </row>
    <row r="482" spans="1:4" x14ac:dyDescent="0.25">
      <c r="A482" s="5" t="s">
        <v>31</v>
      </c>
      <c r="B482" s="5" t="str">
        <f>Planilha1!B21</f>
        <v>Reallizi</v>
      </c>
      <c r="C482" s="5" t="str">
        <f>Planilha1!B4</f>
        <v>ENEL CE</v>
      </c>
      <c r="D482" s="6">
        <v>1555788.1582804711</v>
      </c>
    </row>
    <row r="483" spans="1:4" x14ac:dyDescent="0.25">
      <c r="A483" s="5" t="s">
        <v>31</v>
      </c>
      <c r="B483" s="5" t="str">
        <f>Planilha1!B21</f>
        <v>Reallizi</v>
      </c>
      <c r="C483" s="5" t="str">
        <f>Planilha1!B5</f>
        <v>ENEL RJ</v>
      </c>
      <c r="D483" s="6">
        <v>1062199.989971299</v>
      </c>
    </row>
    <row r="484" spans="1:4" x14ac:dyDescent="0.25">
      <c r="A484" s="5" t="s">
        <v>31</v>
      </c>
      <c r="B484" s="5" t="str">
        <f>Planilha1!B21</f>
        <v>Reallizi</v>
      </c>
      <c r="C484" s="5" t="str">
        <f>Planilha1!B6</f>
        <v>ENEL SP</v>
      </c>
      <c r="D484" s="6">
        <v>4024616.7728953199</v>
      </c>
    </row>
    <row r="485" spans="1:4" x14ac:dyDescent="0.25">
      <c r="A485" s="5" t="s">
        <v>31</v>
      </c>
      <c r="B485" s="5" t="str">
        <f>Planilha1!B21</f>
        <v>Reallizi</v>
      </c>
      <c r="C485" s="5" t="str">
        <f>Planilha1!B7</f>
        <v>CPFL PAULISTA</v>
      </c>
      <c r="D485" s="6">
        <v>5646716.8932044934</v>
      </c>
    </row>
    <row r="486" spans="1:4" x14ac:dyDescent="0.25">
      <c r="A486" s="5" t="s">
        <v>31</v>
      </c>
      <c r="B486" s="5" t="str">
        <f>Planilha1!B21</f>
        <v>Reallizi</v>
      </c>
      <c r="C486" s="5" t="str">
        <f>Planilha1!B8</f>
        <v>RGE</v>
      </c>
      <c r="D486" s="6">
        <v>3391223.8332875711</v>
      </c>
    </row>
    <row r="487" spans="1:4" x14ac:dyDescent="0.25">
      <c r="A487" s="5" t="s">
        <v>31</v>
      </c>
      <c r="B487" s="5" t="str">
        <f>Planilha1!B21</f>
        <v>Reallizi</v>
      </c>
      <c r="C487" s="5" t="str">
        <f>Planilha1!B9</f>
        <v>CPFL SANTA CRUZ</v>
      </c>
      <c r="D487" s="6">
        <v>602067.65730214433</v>
      </c>
    </row>
    <row r="488" spans="1:4" x14ac:dyDescent="0.25">
      <c r="A488" s="5" t="s">
        <v>31</v>
      </c>
      <c r="B488" s="5" t="str">
        <f>Planilha1!B21</f>
        <v>Reallizi</v>
      </c>
      <c r="C488" s="5" t="str">
        <f>Planilha1!B10</f>
        <v>CPFL PIRATININGA</v>
      </c>
      <c r="D488" s="6">
        <v>2066526.44315936</v>
      </c>
    </row>
    <row r="489" spans="1:4" x14ac:dyDescent="0.25">
      <c r="A489" s="5" t="s">
        <v>31</v>
      </c>
      <c r="B489" s="5" t="str">
        <f>Planilha1!B21</f>
        <v>Reallizi</v>
      </c>
      <c r="C489" s="5" t="str">
        <f>Planilha1!B11</f>
        <v>CELPE</v>
      </c>
      <c r="D489" s="6">
        <v>2915963.1246239222</v>
      </c>
    </row>
    <row r="490" spans="1:4" x14ac:dyDescent="0.25">
      <c r="A490" s="5" t="s">
        <v>31</v>
      </c>
      <c r="B490" s="5" t="str">
        <f>Planilha1!B21</f>
        <v>Reallizi</v>
      </c>
      <c r="C490" s="5" t="str">
        <f>Planilha1!B12</f>
        <v>COELBA</v>
      </c>
      <c r="D490" s="6">
        <v>3572901.6543073962</v>
      </c>
    </row>
    <row r="491" spans="1:4" x14ac:dyDescent="0.25">
      <c r="A491" s="5" t="s">
        <v>31</v>
      </c>
      <c r="B491" s="5" t="str">
        <f>Planilha1!B21</f>
        <v>Reallizi</v>
      </c>
      <c r="C491" s="5" t="str">
        <f>Planilha1!B13</f>
        <v>COSERN</v>
      </c>
      <c r="D491" s="6">
        <v>1079016.823141261</v>
      </c>
    </row>
    <row r="492" spans="1:4" x14ac:dyDescent="0.25">
      <c r="A492" s="5" t="s">
        <v>31</v>
      </c>
      <c r="B492" s="5" t="str">
        <f>Planilha1!B21</f>
        <v>Reallizi</v>
      </c>
      <c r="C492" s="5" t="str">
        <f>Planilha1!B14</f>
        <v>ELEKTRO</v>
      </c>
      <c r="D492" s="6">
        <v>1591615.2566869231</v>
      </c>
    </row>
    <row r="493" spans="1:4" x14ac:dyDescent="0.25">
      <c r="A493" s="5" t="s">
        <v>31</v>
      </c>
      <c r="B493" s="5" t="str">
        <f>Planilha1!B21</f>
        <v>Reallizi</v>
      </c>
      <c r="C493" s="5" t="str">
        <f>Planilha1!B15</f>
        <v>COPEL</v>
      </c>
      <c r="D493" s="6">
        <v>1383941.593379338</v>
      </c>
    </row>
    <row r="494" spans="1:4" x14ac:dyDescent="0.25">
      <c r="A494" s="5" t="s">
        <v>31</v>
      </c>
      <c r="B494" s="5" t="str">
        <f>Planilha1!B22</f>
        <v>Corban</v>
      </c>
      <c r="C494" s="5" t="str">
        <f>Planilha1!B4</f>
        <v>ENEL CE</v>
      </c>
      <c r="D494" s="6">
        <v>2519130.0515134572</v>
      </c>
    </row>
    <row r="495" spans="1:4" x14ac:dyDescent="0.25">
      <c r="A495" s="5" t="s">
        <v>31</v>
      </c>
      <c r="B495" s="5" t="str">
        <f>Planilha1!B22</f>
        <v>Corban</v>
      </c>
      <c r="C495" s="5" t="str">
        <f>Planilha1!B5</f>
        <v>ENEL RJ</v>
      </c>
      <c r="D495" s="6">
        <v>1719912.7665372069</v>
      </c>
    </row>
    <row r="496" spans="1:4" x14ac:dyDescent="0.25">
      <c r="A496" s="5" t="s">
        <v>31</v>
      </c>
      <c r="B496" s="5" t="str">
        <f>Planilha1!B22</f>
        <v>Corban</v>
      </c>
      <c r="C496" s="5" t="str">
        <f>Planilha1!B6</f>
        <v>ENEL SP</v>
      </c>
      <c r="D496" s="6">
        <v>6516653.9573300825</v>
      </c>
    </row>
    <row r="497" spans="1:4" x14ac:dyDescent="0.25">
      <c r="A497" s="5" t="s">
        <v>31</v>
      </c>
      <c r="B497" s="5" t="str">
        <f>Planilha1!B22</f>
        <v>Corban</v>
      </c>
      <c r="C497" s="5" t="str">
        <f>Planilha1!B7</f>
        <v>CPFL PAULISTA</v>
      </c>
      <c r="D497" s="6">
        <v>9143156.2467875239</v>
      </c>
    </row>
    <row r="498" spans="1:4" x14ac:dyDescent="0.25">
      <c r="A498" s="5" t="s">
        <v>31</v>
      </c>
      <c r="B498" s="5" t="str">
        <f>Planilha1!B22</f>
        <v>Corban</v>
      </c>
      <c r="C498" s="5" t="str">
        <f>Planilha1!B8</f>
        <v>RGE</v>
      </c>
      <c r="D498" s="6">
        <v>5491064.9784643091</v>
      </c>
    </row>
    <row r="499" spans="1:4" x14ac:dyDescent="0.25">
      <c r="A499" s="5" t="s">
        <v>31</v>
      </c>
      <c r="B499" s="5" t="str">
        <f>Planilha1!B22</f>
        <v>Corban</v>
      </c>
      <c r="C499" s="5" t="str">
        <f>Planilha1!B9</f>
        <v>CPFL SANTA CRUZ</v>
      </c>
      <c r="D499" s="6">
        <v>974867.12473146059</v>
      </c>
    </row>
    <row r="500" spans="1:4" x14ac:dyDescent="0.25">
      <c r="A500" s="5" t="s">
        <v>31</v>
      </c>
      <c r="B500" s="5" t="str">
        <f>Planilha1!B22</f>
        <v>Corban</v>
      </c>
      <c r="C500" s="5" t="str">
        <f>Planilha1!B10</f>
        <v>CPFL PIRATININGA</v>
      </c>
      <c r="D500" s="6">
        <v>3346116.7817112738</v>
      </c>
    </row>
    <row r="501" spans="1:4" x14ac:dyDescent="0.25">
      <c r="A501" s="5" t="s">
        <v>31</v>
      </c>
      <c r="B501" s="5" t="str">
        <f>Planilha1!B22</f>
        <v>Corban</v>
      </c>
      <c r="C501" s="5" t="str">
        <f>Planilha1!B11</f>
        <v>CELPE</v>
      </c>
      <c r="D501" s="6">
        <v>4721523.4910027841</v>
      </c>
    </row>
    <row r="502" spans="1:4" x14ac:dyDescent="0.25">
      <c r="A502" s="5" t="s">
        <v>31</v>
      </c>
      <c r="B502" s="5" t="str">
        <f>Planilha1!B22</f>
        <v>Corban</v>
      </c>
      <c r="C502" s="5" t="str">
        <f>Planilha1!B12</f>
        <v>COELBA</v>
      </c>
      <c r="D502" s="6">
        <v>5785237.4570171498</v>
      </c>
    </row>
    <row r="503" spans="1:4" x14ac:dyDescent="0.25">
      <c r="A503" s="5" t="s">
        <v>31</v>
      </c>
      <c r="B503" s="5" t="str">
        <f>Planilha1!B22</f>
        <v>Corban</v>
      </c>
      <c r="C503" s="5" t="str">
        <f>Planilha1!B13</f>
        <v>COSERN</v>
      </c>
      <c r="D503" s="6">
        <v>1747142.559735121</v>
      </c>
    </row>
    <row r="504" spans="1:4" x14ac:dyDescent="0.25">
      <c r="A504" s="5" t="s">
        <v>31</v>
      </c>
      <c r="B504" s="5" t="str">
        <f>Planilha1!B22</f>
        <v>Corban</v>
      </c>
      <c r="C504" s="5" t="str">
        <f>Planilha1!B14</f>
        <v>ELEKTRO</v>
      </c>
      <c r="D504" s="6">
        <v>2577141.2401022529</v>
      </c>
    </row>
    <row r="505" spans="1:4" x14ac:dyDescent="0.25">
      <c r="A505" s="5" t="s">
        <v>31</v>
      </c>
      <c r="B505" s="5" t="str">
        <f>Planilha1!B22</f>
        <v>Corban</v>
      </c>
      <c r="C505" s="5" t="str">
        <f>Planilha1!B15</f>
        <v>COPEL</v>
      </c>
      <c r="D505" s="6">
        <v>2240876.329380576</v>
      </c>
    </row>
    <row r="506" spans="1:4" x14ac:dyDescent="0.25">
      <c r="A506" s="5" t="s">
        <v>31</v>
      </c>
      <c r="B506" s="5" t="str">
        <f>Planilha1!B23</f>
        <v>Lojas</v>
      </c>
      <c r="C506" s="5" t="str">
        <f>Planilha1!B4</f>
        <v>ENEL CE</v>
      </c>
      <c r="D506" s="6">
        <v>1200082.373345562</v>
      </c>
    </row>
    <row r="507" spans="1:4" x14ac:dyDescent="0.25">
      <c r="A507" s="5" t="s">
        <v>31</v>
      </c>
      <c r="B507" s="5" t="str">
        <f>Planilha1!B23</f>
        <v>Lojas</v>
      </c>
      <c r="C507" s="5" t="str">
        <f>Planilha1!B5</f>
        <v>ENEL RJ</v>
      </c>
      <c r="D507" s="6">
        <v>819345.15193975798</v>
      </c>
    </row>
    <row r="508" spans="1:4" x14ac:dyDescent="0.25">
      <c r="A508" s="5" t="s">
        <v>31</v>
      </c>
      <c r="B508" s="5" t="str">
        <f>Planilha1!B23</f>
        <v>Lojas</v>
      </c>
      <c r="C508" s="5" t="str">
        <f>Planilha1!B6</f>
        <v>ENEL SP</v>
      </c>
      <c r="D508" s="6">
        <v>3104453.278498258</v>
      </c>
    </row>
    <row r="509" spans="1:4" x14ac:dyDescent="0.25">
      <c r="A509" s="5" t="s">
        <v>31</v>
      </c>
      <c r="B509" s="5" t="str">
        <f>Planilha1!B23</f>
        <v>Lojas</v>
      </c>
      <c r="C509" s="5" t="str">
        <f>Planilha1!B7</f>
        <v>CPFL PAULISTA</v>
      </c>
      <c r="D509" s="6">
        <v>4355686.4568869444</v>
      </c>
    </row>
    <row r="510" spans="1:4" x14ac:dyDescent="0.25">
      <c r="A510" s="5" t="s">
        <v>31</v>
      </c>
      <c r="B510" s="5" t="str">
        <f>Planilha1!B23</f>
        <v>Lojas</v>
      </c>
      <c r="C510" s="5" t="str">
        <f>Planilha1!B8</f>
        <v>RGE</v>
      </c>
      <c r="D510" s="6">
        <v>2615875.3842784469</v>
      </c>
    </row>
    <row r="511" spans="1:4" x14ac:dyDescent="0.25">
      <c r="A511" s="5" t="s">
        <v>31</v>
      </c>
      <c r="B511" s="5" t="str">
        <f>Planilha1!B23</f>
        <v>Lojas</v>
      </c>
      <c r="C511" s="5" t="str">
        <f>Planilha1!B9</f>
        <v>CPFL SANTA CRUZ</v>
      </c>
      <c r="D511" s="6">
        <v>464414.6307735974</v>
      </c>
    </row>
    <row r="512" spans="1:4" x14ac:dyDescent="0.25">
      <c r="A512" s="5" t="s">
        <v>31</v>
      </c>
      <c r="B512" s="5" t="str">
        <f>Planilha1!B23</f>
        <v>Lojas</v>
      </c>
      <c r="C512" s="5" t="str">
        <f>Planilha1!B10</f>
        <v>CPFL PIRATININGA</v>
      </c>
      <c r="D512" s="6">
        <v>1594048.6147092551</v>
      </c>
    </row>
    <row r="513" spans="1:4" x14ac:dyDescent="0.25">
      <c r="A513" s="5" t="s">
        <v>31</v>
      </c>
      <c r="B513" s="5" t="str">
        <f>Planilha1!B23</f>
        <v>Lojas</v>
      </c>
      <c r="C513" s="5" t="str">
        <f>Planilha1!B11</f>
        <v>CELPE</v>
      </c>
      <c r="D513" s="6">
        <v>2249275.345465099</v>
      </c>
    </row>
    <row r="514" spans="1:4" x14ac:dyDescent="0.25">
      <c r="A514" s="5" t="s">
        <v>31</v>
      </c>
      <c r="B514" s="5" t="str">
        <f>Planilha1!B23</f>
        <v>Lojas</v>
      </c>
      <c r="C514" s="5" t="str">
        <f>Planilha1!B12</f>
        <v>COELBA</v>
      </c>
      <c r="D514" s="6">
        <v>2756015.5116301649</v>
      </c>
    </row>
    <row r="515" spans="1:4" x14ac:dyDescent="0.25">
      <c r="A515" s="5" t="s">
        <v>31</v>
      </c>
      <c r="B515" s="5" t="str">
        <f>Planilha1!B23</f>
        <v>Lojas</v>
      </c>
      <c r="C515" s="5" t="str">
        <f>Planilha1!B13</f>
        <v>COSERN</v>
      </c>
      <c r="D515" s="6">
        <v>832317.08835369139</v>
      </c>
    </row>
    <row r="516" spans="1:4" x14ac:dyDescent="0.25">
      <c r="A516" s="5" t="s">
        <v>31</v>
      </c>
      <c r="B516" s="5" t="str">
        <f>Planilha1!B23</f>
        <v>Lojas</v>
      </c>
      <c r="C516" s="5" t="str">
        <f>Planilha1!B14</f>
        <v>ELEKTRO</v>
      </c>
      <c r="D516" s="6">
        <v>1227718.1854944481</v>
      </c>
    </row>
    <row r="517" spans="1:4" x14ac:dyDescent="0.25">
      <c r="A517" s="5" t="s">
        <v>31</v>
      </c>
      <c r="B517" s="5" t="str">
        <f>Planilha1!B23</f>
        <v>Lojas</v>
      </c>
      <c r="C517" s="5" t="str">
        <f>Planilha1!B15</f>
        <v>COPEL</v>
      </c>
      <c r="D517" s="6">
        <v>1067525.744501075</v>
      </c>
    </row>
    <row r="518" spans="1:4" x14ac:dyDescent="0.25">
      <c r="A518" s="5" t="s">
        <v>31</v>
      </c>
      <c r="B518" s="5" t="str">
        <f>Planilha1!B24</f>
        <v>Canal Interno</v>
      </c>
      <c r="C518" s="5" t="str">
        <f>Planilha1!B4</f>
        <v>ENEL CE</v>
      </c>
      <c r="D518" s="6">
        <v>809025.27047241956</v>
      </c>
    </row>
    <row r="519" spans="1:4" x14ac:dyDescent="0.25">
      <c r="A519" s="5" t="s">
        <v>31</v>
      </c>
      <c r="B519" s="5" t="str">
        <f>Planilha1!B24</f>
        <v>Canal Interno</v>
      </c>
      <c r="C519" s="5" t="str">
        <f>Planilha1!B5</f>
        <v>ENEL RJ</v>
      </c>
      <c r="D519" s="6">
        <v>552354.52822325181</v>
      </c>
    </row>
    <row r="520" spans="1:4" x14ac:dyDescent="0.25">
      <c r="A520" s="5" t="s">
        <v>31</v>
      </c>
      <c r="B520" s="5" t="str">
        <f>Planilha1!B24</f>
        <v>Canal Interno</v>
      </c>
      <c r="C520" s="5" t="str">
        <f>Planilha1!B6</f>
        <v>ENEL SP</v>
      </c>
      <c r="D520" s="6">
        <v>2092840.632517844</v>
      </c>
    </row>
    <row r="521" spans="1:4" x14ac:dyDescent="0.25">
      <c r="A521" s="5" t="s">
        <v>31</v>
      </c>
      <c r="B521" s="5" t="str">
        <f>Planilha1!B24</f>
        <v>Canal Interno</v>
      </c>
      <c r="C521" s="5" t="str">
        <f>Planilha1!B7</f>
        <v>CPFL PAULISTA</v>
      </c>
      <c r="D521" s="6">
        <v>2936348.7808360001</v>
      </c>
    </row>
    <row r="522" spans="1:4" x14ac:dyDescent="0.25">
      <c r="A522" s="5" t="s">
        <v>31</v>
      </c>
      <c r="B522" s="5" t="str">
        <f>Planilha1!B24</f>
        <v>Canal Interno</v>
      </c>
      <c r="C522" s="5" t="str">
        <f>Planilha1!B8</f>
        <v>RGE</v>
      </c>
      <c r="D522" s="6">
        <v>1763470.0228020321</v>
      </c>
    </row>
    <row r="523" spans="1:4" x14ac:dyDescent="0.25">
      <c r="A523" s="5" t="s">
        <v>31</v>
      </c>
      <c r="B523" s="5" t="str">
        <f>Planilha1!B24</f>
        <v>Canal Interno</v>
      </c>
      <c r="C523" s="5" t="str">
        <f>Planilha1!B9</f>
        <v>CPFL SANTA CRUZ</v>
      </c>
      <c r="D523" s="6">
        <v>313081.1522758443</v>
      </c>
    </row>
    <row r="524" spans="1:4" x14ac:dyDescent="0.25">
      <c r="A524" s="5" t="s">
        <v>31</v>
      </c>
      <c r="B524" s="5" t="str">
        <f>Planilha1!B24</f>
        <v>Canal Interno</v>
      </c>
      <c r="C524" s="5" t="str">
        <f>Planilha1!B10</f>
        <v>CPFL PIRATININGA</v>
      </c>
      <c r="D524" s="6">
        <v>1074614.2434091021</v>
      </c>
    </row>
    <row r="525" spans="1:4" x14ac:dyDescent="0.25">
      <c r="A525" s="5" t="s">
        <v>31</v>
      </c>
      <c r="B525" s="5" t="str">
        <f>Planilha1!B24</f>
        <v>Canal Interno</v>
      </c>
      <c r="C525" s="5" t="str">
        <f>Planilha1!B11</f>
        <v>CELPE</v>
      </c>
      <c r="D525" s="6">
        <v>1516329.741315067</v>
      </c>
    </row>
    <row r="526" spans="1:4" x14ac:dyDescent="0.25">
      <c r="A526" s="5" t="s">
        <v>31</v>
      </c>
      <c r="B526" s="5" t="str">
        <f>Planilha1!B24</f>
        <v>Canal Interno</v>
      </c>
      <c r="C526" s="5" t="str">
        <f>Planilha1!B12</f>
        <v>COELBA</v>
      </c>
      <c r="D526" s="6">
        <v>1857944.291363026</v>
      </c>
    </row>
    <row r="527" spans="1:4" x14ac:dyDescent="0.25">
      <c r="A527" s="5" t="s">
        <v>31</v>
      </c>
      <c r="B527" s="5" t="str">
        <f>Planilha1!B24</f>
        <v>Canal Interno</v>
      </c>
      <c r="C527" s="5" t="str">
        <f>Planilha1!B13</f>
        <v>COSERN</v>
      </c>
      <c r="D527" s="6">
        <v>561099.44823784789</v>
      </c>
    </row>
    <row r="528" spans="1:4" x14ac:dyDescent="0.25">
      <c r="A528" s="5" t="s">
        <v>31</v>
      </c>
      <c r="B528" s="5" t="str">
        <f>Planilha1!B24</f>
        <v>Canal Interno</v>
      </c>
      <c r="C528" s="5" t="str">
        <f>Planilha1!B14</f>
        <v>ELEKTRO</v>
      </c>
      <c r="D528" s="6">
        <v>827655.71692764759</v>
      </c>
    </row>
    <row r="529" spans="1:4" x14ac:dyDescent="0.25">
      <c r="A529" s="5" t="s">
        <v>31</v>
      </c>
      <c r="B529" s="5" t="str">
        <f>Planilha1!B24</f>
        <v>Canal Interno</v>
      </c>
      <c r="C529" s="5" t="str">
        <f>Planilha1!B15</f>
        <v>COPEL</v>
      </c>
      <c r="D529" s="6">
        <v>719663.35258601839</v>
      </c>
    </row>
    <row r="530" spans="1:4" x14ac:dyDescent="0.25">
      <c r="A530" s="5" t="s">
        <v>31</v>
      </c>
      <c r="B530" s="5" t="str">
        <f>Planilha1!B25</f>
        <v>Canal Digital</v>
      </c>
      <c r="C530" s="5" t="str">
        <f>Planilha1!B4</f>
        <v>ENEL CE</v>
      </c>
      <c r="D530" s="6">
        <v>139126.7795099706</v>
      </c>
    </row>
    <row r="531" spans="1:4" x14ac:dyDescent="0.25">
      <c r="A531" s="5" t="s">
        <v>31</v>
      </c>
      <c r="B531" s="5" t="str">
        <f>Planilha1!B25</f>
        <v>Canal Digital</v>
      </c>
      <c r="C531" s="5" t="str">
        <f>Planilha1!B5</f>
        <v>ENEL RJ</v>
      </c>
      <c r="D531" s="6">
        <v>94987.523213676934</v>
      </c>
    </row>
    <row r="532" spans="1:4" x14ac:dyDescent="0.25">
      <c r="A532" s="5" t="s">
        <v>31</v>
      </c>
      <c r="B532" s="5" t="str">
        <f>Planilha1!B25</f>
        <v>Canal Digital</v>
      </c>
      <c r="C532" s="5" t="str">
        <f>Planilha1!B6</f>
        <v>ENEL SP</v>
      </c>
      <c r="D532" s="6">
        <v>359902.45033976837</v>
      </c>
    </row>
    <row r="533" spans="1:4" x14ac:dyDescent="0.25">
      <c r="A533" s="5" t="s">
        <v>31</v>
      </c>
      <c r="B533" s="5" t="str">
        <f>Planilha1!B25</f>
        <v>Canal Digital</v>
      </c>
      <c r="C533" s="5" t="str">
        <f>Planilha1!B7</f>
        <v>CPFL PAULISTA</v>
      </c>
      <c r="D533" s="6">
        <v>504959.19510300172</v>
      </c>
    </row>
    <row r="534" spans="1:4" x14ac:dyDescent="0.25">
      <c r="A534" s="5" t="s">
        <v>31</v>
      </c>
      <c r="B534" s="5" t="str">
        <f>Planilha1!B25</f>
        <v>Canal Digital</v>
      </c>
      <c r="C534" s="5" t="str">
        <f>Planilha1!B8</f>
        <v>RGE</v>
      </c>
      <c r="D534" s="6">
        <v>303261.11431791831</v>
      </c>
    </row>
    <row r="535" spans="1:4" x14ac:dyDescent="0.25">
      <c r="A535" s="5" t="s">
        <v>31</v>
      </c>
      <c r="B535" s="5" t="str">
        <f>Planilha1!B25</f>
        <v>Canal Digital</v>
      </c>
      <c r="C535" s="5" t="str">
        <f>Planilha1!B9</f>
        <v>CPFL SANTA CRUZ</v>
      </c>
      <c r="D535" s="6">
        <v>53840.064125529512</v>
      </c>
    </row>
    <row r="536" spans="1:4" x14ac:dyDescent="0.25">
      <c r="A536" s="5" t="s">
        <v>31</v>
      </c>
      <c r="B536" s="5" t="str">
        <f>Planilha1!B25</f>
        <v>Canal Digital</v>
      </c>
      <c r="C536" s="5" t="str">
        <f>Planilha1!B10</f>
        <v>CPFL PIRATININGA</v>
      </c>
      <c r="D536" s="6">
        <v>184799.68964844459</v>
      </c>
    </row>
    <row r="537" spans="1:4" x14ac:dyDescent="0.25">
      <c r="A537" s="5" t="s">
        <v>31</v>
      </c>
      <c r="B537" s="5" t="str">
        <f>Planilha1!B25</f>
        <v>Canal Digital</v>
      </c>
      <c r="C537" s="5" t="str">
        <f>Planilha1!B11</f>
        <v>CELPE</v>
      </c>
      <c r="D537" s="6">
        <v>260760.79608880889</v>
      </c>
    </row>
    <row r="538" spans="1:4" x14ac:dyDescent="0.25">
      <c r="A538" s="5" t="s">
        <v>31</v>
      </c>
      <c r="B538" s="5" t="str">
        <f>Planilha1!B25</f>
        <v>Canal Digital</v>
      </c>
      <c r="C538" s="5" t="str">
        <f>Planilha1!B12</f>
        <v>COELBA</v>
      </c>
      <c r="D538" s="6">
        <v>319507.70291183941</v>
      </c>
    </row>
    <row r="539" spans="1:4" x14ac:dyDescent="0.25">
      <c r="A539" s="5" t="s">
        <v>31</v>
      </c>
      <c r="B539" s="5" t="str">
        <f>Planilha1!B25</f>
        <v>Canal Digital</v>
      </c>
      <c r="C539" s="5" t="str">
        <f>Planilha1!B13</f>
        <v>COSERN</v>
      </c>
      <c r="D539" s="6">
        <v>96491.373097120741</v>
      </c>
    </row>
    <row r="540" spans="1:4" x14ac:dyDescent="0.25">
      <c r="A540" s="5" t="s">
        <v>31</v>
      </c>
      <c r="B540" s="5" t="str">
        <f>Planilha1!B25</f>
        <v>Canal Digital</v>
      </c>
      <c r="C540" s="5" t="str">
        <f>Planilha1!B14</f>
        <v>ELEKTRO</v>
      </c>
      <c r="D540" s="6">
        <v>142330.62753641771</v>
      </c>
    </row>
    <row r="541" spans="1:4" x14ac:dyDescent="0.25">
      <c r="A541" s="5" t="s">
        <v>31</v>
      </c>
      <c r="B541" s="5" t="str">
        <f>Planilha1!B25</f>
        <v>Canal Digital</v>
      </c>
      <c r="C541" s="5" t="str">
        <f>Planilha1!B15</f>
        <v>COPEL</v>
      </c>
      <c r="D541" s="6">
        <v>123759.3536703432</v>
      </c>
    </row>
    <row r="542" spans="1:4" x14ac:dyDescent="0.25">
      <c r="A542" s="5" t="s">
        <v>32</v>
      </c>
      <c r="B542" s="5" t="str">
        <f>Planilha1!B21</f>
        <v>Reallizi</v>
      </c>
      <c r="C542" s="5" t="str">
        <f>Planilha1!B4</f>
        <v>ENEL CE</v>
      </c>
      <c r="D542" s="6">
        <v>1579074.3124805889</v>
      </c>
    </row>
    <row r="543" spans="1:4" x14ac:dyDescent="0.25">
      <c r="A543" s="5" t="s">
        <v>32</v>
      </c>
      <c r="B543" s="5" t="str">
        <f>Planilha1!B21</f>
        <v>Reallizi</v>
      </c>
      <c r="C543" s="5" t="str">
        <f>Planilha1!B5</f>
        <v>ENEL RJ</v>
      </c>
      <c r="D543" s="6">
        <v>1078098.39659317</v>
      </c>
    </row>
    <row r="544" spans="1:4" x14ac:dyDescent="0.25">
      <c r="A544" s="5" t="s">
        <v>32</v>
      </c>
      <c r="B544" s="5" t="str">
        <f>Planilha1!B21</f>
        <v>Reallizi</v>
      </c>
      <c r="C544" s="5" t="str">
        <f>Planilha1!B6</f>
        <v>ENEL SP</v>
      </c>
      <c r="D544" s="6">
        <v>4084854.952670123</v>
      </c>
    </row>
    <row r="545" spans="1:4" x14ac:dyDescent="0.25">
      <c r="A545" s="5" t="s">
        <v>32</v>
      </c>
      <c r="B545" s="5" t="str">
        <f>Planilha1!B21</f>
        <v>Reallizi</v>
      </c>
      <c r="C545" s="5" t="str">
        <f>Planilha1!B7</f>
        <v>CPFL PAULISTA</v>
      </c>
      <c r="D545" s="6">
        <v>5760262.7790428977</v>
      </c>
    </row>
    <row r="546" spans="1:4" x14ac:dyDescent="0.25">
      <c r="A546" s="5" t="s">
        <v>32</v>
      </c>
      <c r="B546" s="5" t="str">
        <f>Planilha1!B21</f>
        <v>Reallizi</v>
      </c>
      <c r="C546" s="5" t="str">
        <f>Planilha1!B8</f>
        <v>RGE</v>
      </c>
      <c r="D546" s="6">
        <v>3459415.584620174</v>
      </c>
    </row>
    <row r="547" spans="1:4" x14ac:dyDescent="0.25">
      <c r="A547" s="5" t="s">
        <v>32</v>
      </c>
      <c r="B547" s="5" t="str">
        <f>Planilha1!B21</f>
        <v>Reallizi</v>
      </c>
      <c r="C547" s="5" t="str">
        <f>Planilha1!B9</f>
        <v>CPFL SANTA CRUZ</v>
      </c>
      <c r="D547" s="6">
        <v>614174.21528547723</v>
      </c>
    </row>
    <row r="548" spans="1:4" x14ac:dyDescent="0.25">
      <c r="A548" s="5" t="s">
        <v>32</v>
      </c>
      <c r="B548" s="5" t="str">
        <f>Planilha1!B21</f>
        <v>Reallizi</v>
      </c>
      <c r="C548" s="5" t="str">
        <f>Planilha1!B10</f>
        <v>CPFL PIRATININGA</v>
      </c>
      <c r="D548" s="6">
        <v>2108080.779959816</v>
      </c>
    </row>
    <row r="549" spans="1:4" x14ac:dyDescent="0.25">
      <c r="A549" s="5" t="s">
        <v>32</v>
      </c>
      <c r="B549" s="5" t="str">
        <f>Planilha1!B21</f>
        <v>Reallizi</v>
      </c>
      <c r="C549" s="5" t="str">
        <f>Planilha1!B11</f>
        <v>CELPE</v>
      </c>
      <c r="D549" s="6">
        <v>2959607.6057831491</v>
      </c>
    </row>
    <row r="550" spans="1:4" x14ac:dyDescent="0.25">
      <c r="A550" s="5" t="s">
        <v>32</v>
      </c>
      <c r="B550" s="5" t="str">
        <f>Planilha1!B21</f>
        <v>Reallizi</v>
      </c>
      <c r="C550" s="5" t="str">
        <f>Planilha1!B12</f>
        <v>COELBA</v>
      </c>
      <c r="D550" s="6">
        <v>3626378.818548074</v>
      </c>
    </row>
    <row r="551" spans="1:4" x14ac:dyDescent="0.25">
      <c r="A551" s="5" t="s">
        <v>32</v>
      </c>
      <c r="B551" s="5" t="str">
        <f>Planilha1!B21</f>
        <v>Reallizi</v>
      </c>
      <c r="C551" s="5" t="str">
        <f>Planilha1!B13</f>
        <v>COSERN</v>
      </c>
      <c r="D551" s="6">
        <v>1095166.9345780001</v>
      </c>
    </row>
    <row r="552" spans="1:4" x14ac:dyDescent="0.25">
      <c r="A552" s="5" t="s">
        <v>32</v>
      </c>
      <c r="B552" s="5" t="str">
        <f>Planilha1!B21</f>
        <v>Reallizi</v>
      </c>
      <c r="C552" s="5" t="str">
        <f>Planilha1!B14</f>
        <v>ELEKTRO</v>
      </c>
      <c r="D552" s="6">
        <v>1615437.6505631141</v>
      </c>
    </row>
    <row r="553" spans="1:4" x14ac:dyDescent="0.25">
      <c r="A553" s="5" t="s">
        <v>32</v>
      </c>
      <c r="B553" s="5" t="str">
        <f>Planilha1!B21</f>
        <v>Reallizi</v>
      </c>
      <c r="C553" s="5" t="str">
        <f>Planilha1!B15</f>
        <v>COPEL</v>
      </c>
      <c r="D553" s="6">
        <v>1272432.268166715</v>
      </c>
    </row>
    <row r="554" spans="1:4" x14ac:dyDescent="0.25">
      <c r="A554" s="5" t="s">
        <v>32</v>
      </c>
      <c r="B554" s="5" t="str">
        <f>Planilha1!B22</f>
        <v>Corban</v>
      </c>
      <c r="C554" s="5" t="str">
        <f>Planilha1!B4</f>
        <v>ENEL CE</v>
      </c>
      <c r="D554" s="6">
        <v>2556834.960448191</v>
      </c>
    </row>
    <row r="555" spans="1:4" x14ac:dyDescent="0.25">
      <c r="A555" s="5" t="s">
        <v>32</v>
      </c>
      <c r="B555" s="5" t="str">
        <f>Planilha1!B22</f>
        <v>Corban</v>
      </c>
      <c r="C555" s="5" t="str">
        <f>Planilha1!B5</f>
        <v>ENEL RJ</v>
      </c>
      <c r="D555" s="6">
        <v>1745655.4447284371</v>
      </c>
    </row>
    <row r="556" spans="1:4" x14ac:dyDescent="0.25">
      <c r="A556" s="5" t="s">
        <v>32</v>
      </c>
      <c r="B556" s="5" t="str">
        <f>Planilha1!B22</f>
        <v>Corban</v>
      </c>
      <c r="C556" s="5" t="str">
        <f>Planilha1!B6</f>
        <v>ENEL SP</v>
      </c>
      <c r="D556" s="6">
        <v>6614191.5353811421</v>
      </c>
    </row>
    <row r="557" spans="1:4" x14ac:dyDescent="0.25">
      <c r="A557" s="5" t="s">
        <v>32</v>
      </c>
      <c r="B557" s="5" t="str">
        <f>Planilha1!B22</f>
        <v>Corban</v>
      </c>
      <c r="C557" s="5" t="str">
        <f>Planilha1!B7</f>
        <v>CPFL PAULISTA</v>
      </c>
      <c r="D557" s="6">
        <v>9327009.5893643219</v>
      </c>
    </row>
    <row r="558" spans="1:4" x14ac:dyDescent="0.25">
      <c r="A558" s="5" t="s">
        <v>32</v>
      </c>
      <c r="B558" s="5" t="str">
        <f>Planilha1!B22</f>
        <v>Corban</v>
      </c>
      <c r="C558" s="5" t="str">
        <f>Planilha1!B8</f>
        <v>RGE</v>
      </c>
      <c r="D558" s="6">
        <v>5601480.9686703105</v>
      </c>
    </row>
    <row r="559" spans="1:4" x14ac:dyDescent="0.25">
      <c r="A559" s="5" t="s">
        <v>32</v>
      </c>
      <c r="B559" s="5" t="str">
        <f>Planilha1!B22</f>
        <v>Corban</v>
      </c>
      <c r="C559" s="5" t="str">
        <f>Planilha1!B9</f>
        <v>CPFL SANTA CRUZ</v>
      </c>
      <c r="D559" s="6">
        <v>994470.04680917761</v>
      </c>
    </row>
    <row r="560" spans="1:4" x14ac:dyDescent="0.25">
      <c r="A560" s="5" t="s">
        <v>32</v>
      </c>
      <c r="B560" s="5" t="str">
        <f>Planilha1!B22</f>
        <v>Corban</v>
      </c>
      <c r="C560" s="5" t="str">
        <f>Planilha1!B10</f>
        <v>CPFL PIRATININGA</v>
      </c>
      <c r="D560" s="6">
        <v>3413401.5068504922</v>
      </c>
    </row>
    <row r="561" spans="1:4" x14ac:dyDescent="0.25">
      <c r="A561" s="5" t="s">
        <v>32</v>
      </c>
      <c r="B561" s="5" t="str">
        <f>Planilha1!B22</f>
        <v>Corban</v>
      </c>
      <c r="C561" s="5" t="str">
        <f>Planilha1!B11</f>
        <v>CELPE</v>
      </c>
      <c r="D561" s="6">
        <v>4792192.5750202723</v>
      </c>
    </row>
    <row r="562" spans="1:4" x14ac:dyDescent="0.25">
      <c r="A562" s="5" t="s">
        <v>32</v>
      </c>
      <c r="B562" s="5" t="str">
        <f>Planilha1!B22</f>
        <v>Corban</v>
      </c>
      <c r="C562" s="5" t="str">
        <f>Planilha1!B12</f>
        <v>COELBA</v>
      </c>
      <c r="D562" s="6">
        <v>5871827.6079907389</v>
      </c>
    </row>
    <row r="563" spans="1:4" x14ac:dyDescent="0.25">
      <c r="A563" s="5" t="s">
        <v>32</v>
      </c>
      <c r="B563" s="5" t="str">
        <f>Planilha1!B22</f>
        <v>Corban</v>
      </c>
      <c r="C563" s="5" t="str">
        <f>Planilha1!B13</f>
        <v>COSERN</v>
      </c>
      <c r="D563" s="6">
        <v>1773292.798017273</v>
      </c>
    </row>
    <row r="564" spans="1:4" x14ac:dyDescent="0.25">
      <c r="A564" s="5" t="s">
        <v>32</v>
      </c>
      <c r="B564" s="5" t="str">
        <f>Planilha1!B22</f>
        <v>Corban</v>
      </c>
      <c r="C564" s="5" t="str">
        <f>Planilha1!B14</f>
        <v>ELEKTRO</v>
      </c>
      <c r="D564" s="6">
        <v>2615714.42758482</v>
      </c>
    </row>
    <row r="565" spans="1:4" x14ac:dyDescent="0.25">
      <c r="A565" s="5" t="s">
        <v>32</v>
      </c>
      <c r="B565" s="5" t="str">
        <f>Planilha1!B22</f>
        <v>Corban</v>
      </c>
      <c r="C565" s="5" t="str">
        <f>Planilha1!B15</f>
        <v>COPEL</v>
      </c>
      <c r="D565" s="6">
        <v>2060320.5829751189</v>
      </c>
    </row>
    <row r="566" spans="1:4" x14ac:dyDescent="0.25">
      <c r="A566" s="5" t="s">
        <v>32</v>
      </c>
      <c r="B566" s="5" t="str">
        <f>Planilha1!B23</f>
        <v>Lojas</v>
      </c>
      <c r="C566" s="5" t="str">
        <f>Planilha1!B4</f>
        <v>ENEL CE</v>
      </c>
      <c r="D566" s="6">
        <v>1218044.525229696</v>
      </c>
    </row>
    <row r="567" spans="1:4" x14ac:dyDescent="0.25">
      <c r="A567" s="5" t="s">
        <v>32</v>
      </c>
      <c r="B567" s="5" t="str">
        <f>Planilha1!B23</f>
        <v>Lojas</v>
      </c>
      <c r="C567" s="5" t="str">
        <f>Planilha1!B5</f>
        <v>ENEL RJ</v>
      </c>
      <c r="D567" s="6">
        <v>831608.64517284441</v>
      </c>
    </row>
    <row r="568" spans="1:4" x14ac:dyDescent="0.25">
      <c r="A568" s="5" t="s">
        <v>32</v>
      </c>
      <c r="B568" s="5" t="str">
        <f>Planilha1!B23</f>
        <v>Lojas</v>
      </c>
      <c r="C568" s="5" t="str">
        <f>Planilha1!B6</f>
        <v>ENEL SP</v>
      </c>
      <c r="D568" s="6">
        <v>3150918.9733072892</v>
      </c>
    </row>
    <row r="569" spans="1:4" x14ac:dyDescent="0.25">
      <c r="A569" s="5" t="s">
        <v>32</v>
      </c>
      <c r="B569" s="5" t="str">
        <f>Planilha1!B23</f>
        <v>Lojas</v>
      </c>
      <c r="C569" s="5" t="str">
        <f>Planilha1!B7</f>
        <v>CPFL PAULISTA</v>
      </c>
      <c r="D569" s="6">
        <v>4443271.913451408</v>
      </c>
    </row>
    <row r="570" spans="1:4" x14ac:dyDescent="0.25">
      <c r="A570" s="5" t="s">
        <v>32</v>
      </c>
      <c r="B570" s="5" t="str">
        <f>Planilha1!B23</f>
        <v>Lojas</v>
      </c>
      <c r="C570" s="5" t="str">
        <f>Planilha1!B8</f>
        <v>RGE</v>
      </c>
      <c r="D570" s="6">
        <v>2668476.1952219312</v>
      </c>
    </row>
    <row r="571" spans="1:4" x14ac:dyDescent="0.25">
      <c r="A571" s="5" t="s">
        <v>32</v>
      </c>
      <c r="B571" s="5" t="str">
        <f>Planilha1!B23</f>
        <v>Lojas</v>
      </c>
      <c r="C571" s="5" t="str">
        <f>Planilha1!B9</f>
        <v>CPFL SANTA CRUZ</v>
      </c>
      <c r="D571" s="6">
        <v>473753.22019552888</v>
      </c>
    </row>
    <row r="572" spans="1:4" x14ac:dyDescent="0.25">
      <c r="A572" s="5" t="s">
        <v>32</v>
      </c>
      <c r="B572" s="5" t="str">
        <f>Planilha1!B23</f>
        <v>Lojas</v>
      </c>
      <c r="C572" s="5" t="str">
        <f>Planilha1!B10</f>
        <v>CPFL PIRATININGA</v>
      </c>
      <c r="D572" s="6">
        <v>1626102.224877758</v>
      </c>
    </row>
    <row r="573" spans="1:4" x14ac:dyDescent="0.25">
      <c r="A573" s="5" t="s">
        <v>32</v>
      </c>
      <c r="B573" s="5" t="str">
        <f>Planilha1!B23</f>
        <v>Lojas</v>
      </c>
      <c r="C573" s="5" t="str">
        <f>Planilha1!B11</f>
        <v>CELPE</v>
      </c>
      <c r="D573" s="6">
        <v>2282941.22230973</v>
      </c>
    </row>
    <row r="574" spans="1:4" x14ac:dyDescent="0.25">
      <c r="A574" s="5" t="s">
        <v>32</v>
      </c>
      <c r="B574" s="5" t="str">
        <f>Planilha1!B23</f>
        <v>Lojas</v>
      </c>
      <c r="C574" s="5" t="str">
        <f>Planilha1!B12</f>
        <v>COELBA</v>
      </c>
      <c r="D574" s="6">
        <v>2797265.9876928441</v>
      </c>
    </row>
    <row r="575" spans="1:4" x14ac:dyDescent="0.25">
      <c r="A575" s="5" t="s">
        <v>32</v>
      </c>
      <c r="B575" s="5" t="str">
        <f>Planilha1!B23</f>
        <v>Lojas</v>
      </c>
      <c r="C575" s="5" t="str">
        <f>Planilha1!B13</f>
        <v>COSERN</v>
      </c>
      <c r="D575" s="6">
        <v>844774.7381690871</v>
      </c>
    </row>
    <row r="576" spans="1:4" x14ac:dyDescent="0.25">
      <c r="A576" s="5" t="s">
        <v>32</v>
      </c>
      <c r="B576" s="5" t="str">
        <f>Planilha1!B23</f>
        <v>Lojas</v>
      </c>
      <c r="C576" s="5" t="str">
        <f>Planilha1!B14</f>
        <v>ELEKTRO</v>
      </c>
      <c r="D576" s="6">
        <v>1246093.9745307339</v>
      </c>
    </row>
    <row r="577" spans="1:4" x14ac:dyDescent="0.25">
      <c r="A577" s="5" t="s">
        <v>32</v>
      </c>
      <c r="B577" s="5" t="str">
        <f>Planilha1!B23</f>
        <v>Lojas</v>
      </c>
      <c r="C577" s="5" t="str">
        <f>Planilha1!B15</f>
        <v>COPEL</v>
      </c>
      <c r="D577" s="6">
        <v>981511.22193314938</v>
      </c>
    </row>
    <row r="578" spans="1:4" x14ac:dyDescent="0.25">
      <c r="A578" s="5" t="s">
        <v>32</v>
      </c>
      <c r="B578" s="5" t="str">
        <f>Planilha1!B24</f>
        <v>Canal Interno</v>
      </c>
      <c r="C578" s="5" t="str">
        <f>Planilha1!B4</f>
        <v>ENEL CE</v>
      </c>
      <c r="D578" s="6">
        <v>821134.30157652334</v>
      </c>
    </row>
    <row r="579" spans="1:4" x14ac:dyDescent="0.25">
      <c r="A579" s="5" t="s">
        <v>32</v>
      </c>
      <c r="B579" s="5" t="str">
        <f>Planilha1!B24</f>
        <v>Canal Interno</v>
      </c>
      <c r="C579" s="5" t="str">
        <f>Planilha1!B5</f>
        <v>ENEL RJ</v>
      </c>
      <c r="D579" s="6">
        <v>560621.85732514982</v>
      </c>
    </row>
    <row r="580" spans="1:4" x14ac:dyDescent="0.25">
      <c r="A580" s="5" t="s">
        <v>32</v>
      </c>
      <c r="B580" s="5" t="str">
        <f>Planilha1!B24</f>
        <v>Canal Interno</v>
      </c>
      <c r="C580" s="5" t="str">
        <f>Planilha1!B6</f>
        <v>ENEL SP</v>
      </c>
      <c r="D580" s="6">
        <v>2124165.0833601379</v>
      </c>
    </row>
    <row r="581" spans="1:4" x14ac:dyDescent="0.25">
      <c r="A581" s="5" t="s">
        <v>32</v>
      </c>
      <c r="B581" s="5" t="str">
        <f>Planilha1!B24</f>
        <v>Canal Interno</v>
      </c>
      <c r="C581" s="5" t="str">
        <f>Planilha1!B7</f>
        <v>CPFL PAULISTA</v>
      </c>
      <c r="D581" s="6">
        <v>2995393.7674638568</v>
      </c>
    </row>
    <row r="582" spans="1:4" x14ac:dyDescent="0.25">
      <c r="A582" s="5" t="s">
        <v>32</v>
      </c>
      <c r="B582" s="5" t="str">
        <f>Planilha1!B24</f>
        <v>Canal Interno</v>
      </c>
      <c r="C582" s="5" t="str">
        <f>Planilha1!B8</f>
        <v>RGE</v>
      </c>
      <c r="D582" s="6">
        <v>1798930.4097269611</v>
      </c>
    </row>
    <row r="583" spans="1:4" x14ac:dyDescent="0.25">
      <c r="A583" s="5" t="s">
        <v>32</v>
      </c>
      <c r="B583" s="5" t="str">
        <f>Planilha1!B24</f>
        <v>Canal Interno</v>
      </c>
      <c r="C583" s="5" t="str">
        <f>Planilha1!B9</f>
        <v>CPFL SANTA CRUZ</v>
      </c>
      <c r="D583" s="6">
        <v>319376.68248336407</v>
      </c>
    </row>
    <row r="584" spans="1:4" x14ac:dyDescent="0.25">
      <c r="A584" s="5" t="s">
        <v>32</v>
      </c>
      <c r="B584" s="5" t="str">
        <f>Planilha1!B24</f>
        <v>Canal Interno</v>
      </c>
      <c r="C584" s="5" t="str">
        <f>Planilha1!B10</f>
        <v>CPFL PIRATININGA</v>
      </c>
      <c r="D584" s="6">
        <v>1096222.9106240841</v>
      </c>
    </row>
    <row r="585" spans="1:4" x14ac:dyDescent="0.25">
      <c r="A585" s="5" t="s">
        <v>32</v>
      </c>
      <c r="B585" s="5" t="str">
        <f>Planilha1!B24</f>
        <v>Canal Interno</v>
      </c>
      <c r="C585" s="5" t="str">
        <f>Planilha1!B11</f>
        <v>CELPE</v>
      </c>
      <c r="D585" s="6">
        <v>1539025.3043237859</v>
      </c>
    </row>
    <row r="586" spans="1:4" x14ac:dyDescent="0.25">
      <c r="A586" s="5" t="s">
        <v>32</v>
      </c>
      <c r="B586" s="5" t="str">
        <f>Planilha1!B24</f>
        <v>Canal Interno</v>
      </c>
      <c r="C586" s="5" t="str">
        <f>Planilha1!B12</f>
        <v>COELBA</v>
      </c>
      <c r="D586" s="6">
        <v>1885752.947081123</v>
      </c>
    </row>
    <row r="587" spans="1:4" x14ac:dyDescent="0.25">
      <c r="A587" s="5" t="s">
        <v>32</v>
      </c>
      <c r="B587" s="5" t="str">
        <f>Planilha1!B24</f>
        <v>Canal Interno</v>
      </c>
      <c r="C587" s="5" t="str">
        <f>Planilha1!B13</f>
        <v>COSERN</v>
      </c>
      <c r="D587" s="6">
        <v>569497.66633953911</v>
      </c>
    </row>
    <row r="588" spans="1:4" x14ac:dyDescent="0.25">
      <c r="A588" s="5" t="s">
        <v>32</v>
      </c>
      <c r="B588" s="5" t="str">
        <f>Planilha1!B24</f>
        <v>Canal Interno</v>
      </c>
      <c r="C588" s="5" t="str">
        <f>Planilha1!B14</f>
        <v>ELEKTRO</v>
      </c>
      <c r="D588" s="6">
        <v>840043.59798099648</v>
      </c>
    </row>
    <row r="589" spans="1:4" x14ac:dyDescent="0.25">
      <c r="A589" s="5" t="s">
        <v>32</v>
      </c>
      <c r="B589" s="5" t="str">
        <f>Planilha1!B24</f>
        <v>Canal Interno</v>
      </c>
      <c r="C589" s="5" t="str">
        <f>Planilha1!B15</f>
        <v>COPEL</v>
      </c>
      <c r="D589" s="6">
        <v>661677.39767937618</v>
      </c>
    </row>
    <row r="590" spans="1:4" x14ac:dyDescent="0.25">
      <c r="A590" s="5" t="s">
        <v>32</v>
      </c>
      <c r="B590" s="5" t="str">
        <f>Planilha1!B25</f>
        <v>Canal Digital</v>
      </c>
      <c r="C590" s="5" t="str">
        <f>Planilha1!B4</f>
        <v>ENEL CE</v>
      </c>
      <c r="D590" s="6">
        <v>141209.15018736149</v>
      </c>
    </row>
    <row r="591" spans="1:4" x14ac:dyDescent="0.25">
      <c r="A591" s="5" t="s">
        <v>32</v>
      </c>
      <c r="B591" s="5" t="str">
        <f>Planilha1!B25</f>
        <v>Canal Digital</v>
      </c>
      <c r="C591" s="5" t="str">
        <f>Planilha1!B5</f>
        <v>ENEL RJ</v>
      </c>
      <c r="D591" s="6">
        <v>96409.242553079544</v>
      </c>
    </row>
    <row r="592" spans="1:4" x14ac:dyDescent="0.25">
      <c r="A592" s="5" t="s">
        <v>32</v>
      </c>
      <c r="B592" s="5" t="str">
        <f>Planilha1!B25</f>
        <v>Canal Digital</v>
      </c>
      <c r="C592" s="5" t="str">
        <f>Planilha1!B6</f>
        <v>ENEL SP</v>
      </c>
      <c r="D592" s="6">
        <v>365289.26596180903</v>
      </c>
    </row>
    <row r="593" spans="1:4" x14ac:dyDescent="0.25">
      <c r="A593" s="5" t="s">
        <v>32</v>
      </c>
      <c r="B593" s="5" t="str">
        <f>Planilha1!B25</f>
        <v>Canal Digital</v>
      </c>
      <c r="C593" s="5" t="str">
        <f>Planilha1!B7</f>
        <v>CPFL PAULISTA</v>
      </c>
      <c r="D593" s="6">
        <v>515113.06684911653</v>
      </c>
    </row>
    <row r="594" spans="1:4" x14ac:dyDescent="0.25">
      <c r="A594" s="5" t="s">
        <v>32</v>
      </c>
      <c r="B594" s="5" t="str">
        <f>Planilha1!B25</f>
        <v>Canal Digital</v>
      </c>
      <c r="C594" s="5" t="str">
        <f>Planilha1!B8</f>
        <v>RGE</v>
      </c>
      <c r="D594" s="6">
        <v>309359.18024132488</v>
      </c>
    </row>
    <row r="595" spans="1:4" x14ac:dyDescent="0.25">
      <c r="A595" s="5" t="s">
        <v>32</v>
      </c>
      <c r="B595" s="5" t="str">
        <f>Planilha1!B25</f>
        <v>Canal Digital</v>
      </c>
      <c r="C595" s="5" t="str">
        <f>Planilha1!B9</f>
        <v>CPFL SANTA CRUZ</v>
      </c>
      <c r="D595" s="6">
        <v>54922.696368362282</v>
      </c>
    </row>
    <row r="596" spans="1:4" x14ac:dyDescent="0.25">
      <c r="A596" s="5" t="s">
        <v>32</v>
      </c>
      <c r="B596" s="5" t="str">
        <f>Planilha1!B25</f>
        <v>Canal Digital</v>
      </c>
      <c r="C596" s="5" t="str">
        <f>Planilha1!B10</f>
        <v>CPFL PIRATININGA</v>
      </c>
      <c r="D596" s="6">
        <v>188515.69752712001</v>
      </c>
    </row>
    <row r="597" spans="1:4" x14ac:dyDescent="0.25">
      <c r="A597" s="5" t="s">
        <v>32</v>
      </c>
      <c r="B597" s="5" t="str">
        <f>Planilha1!B25</f>
        <v>Canal Digital</v>
      </c>
      <c r="C597" s="5" t="str">
        <f>Planilha1!B11</f>
        <v>CELPE</v>
      </c>
      <c r="D597" s="6">
        <v>264663.71569566481</v>
      </c>
    </row>
    <row r="598" spans="1:4" x14ac:dyDescent="0.25">
      <c r="A598" s="5" t="s">
        <v>32</v>
      </c>
      <c r="B598" s="5" t="str">
        <f>Planilha1!B25</f>
        <v>Canal Digital</v>
      </c>
      <c r="C598" s="5" t="str">
        <f>Planilha1!B12</f>
        <v>COELBA</v>
      </c>
      <c r="D598" s="6">
        <v>324289.91287952202</v>
      </c>
    </row>
    <row r="599" spans="1:4" x14ac:dyDescent="0.25">
      <c r="A599" s="5" t="s">
        <v>32</v>
      </c>
      <c r="B599" s="5" t="str">
        <f>Planilha1!B25</f>
        <v>Canal Digital</v>
      </c>
      <c r="C599" s="5" t="str">
        <f>Planilha1!B13</f>
        <v>COSERN</v>
      </c>
      <c r="D599" s="6">
        <v>97935.601208102118</v>
      </c>
    </row>
    <row r="600" spans="1:4" x14ac:dyDescent="0.25">
      <c r="A600" s="5" t="s">
        <v>32</v>
      </c>
      <c r="B600" s="5" t="str">
        <f>Planilha1!B25</f>
        <v>Canal Digital</v>
      </c>
      <c r="C600" s="5" t="str">
        <f>Planilha1!B14</f>
        <v>ELEKTRO</v>
      </c>
      <c r="D600" s="6">
        <v>144460.95159279541</v>
      </c>
    </row>
    <row r="601" spans="1:4" x14ac:dyDescent="0.25">
      <c r="A601" s="5" t="s">
        <v>32</v>
      </c>
      <c r="B601" s="5" t="str">
        <f>Planilha1!B25</f>
        <v>Canal Digital</v>
      </c>
      <c r="C601" s="5" t="str">
        <f>Planilha1!B15</f>
        <v>COPEL</v>
      </c>
      <c r="D601" s="6">
        <v>113787.6019125017</v>
      </c>
    </row>
    <row r="602" spans="1:4" x14ac:dyDescent="0.25">
      <c r="A602" s="5" t="s">
        <v>33</v>
      </c>
      <c r="B602" s="5" t="str">
        <f>Planilha1!B21</f>
        <v>Reallizi</v>
      </c>
      <c r="C602" s="5" t="str">
        <f>Planilha1!B4</f>
        <v>ENEL CE</v>
      </c>
      <c r="D602" s="6">
        <v>1437388.6579549389</v>
      </c>
    </row>
    <row r="603" spans="1:4" x14ac:dyDescent="0.25">
      <c r="A603" s="5" t="s">
        <v>33</v>
      </c>
      <c r="B603" s="5" t="str">
        <f>Planilha1!B21</f>
        <v>Reallizi</v>
      </c>
      <c r="C603" s="5" t="str">
        <f>Planilha1!B5</f>
        <v>ENEL RJ</v>
      </c>
      <c r="D603" s="6">
        <v>981363.82510590518</v>
      </c>
    </row>
    <row r="604" spans="1:4" x14ac:dyDescent="0.25">
      <c r="A604" s="5" t="s">
        <v>33</v>
      </c>
      <c r="B604" s="5" t="str">
        <f>Planilha1!B21</f>
        <v>Reallizi</v>
      </c>
      <c r="C604" s="5" t="str">
        <f>Planilha1!B6</f>
        <v>ENEL SP</v>
      </c>
      <c r="D604" s="6">
        <v>3718333.0334437909</v>
      </c>
    </row>
    <row r="605" spans="1:4" x14ac:dyDescent="0.25">
      <c r="A605" s="5" t="s">
        <v>33</v>
      </c>
      <c r="B605" s="5" t="str">
        <f>Planilha1!B21</f>
        <v>Reallizi</v>
      </c>
      <c r="C605" s="5" t="str">
        <f>Planilha1!B7</f>
        <v>CPFL PAULISTA</v>
      </c>
      <c r="D605" s="6">
        <v>5321115.9612060366</v>
      </c>
    </row>
    <row r="606" spans="1:4" x14ac:dyDescent="0.25">
      <c r="A606" s="5" t="s">
        <v>33</v>
      </c>
      <c r="B606" s="5" t="str">
        <f>Planilha1!B21</f>
        <v>Reallizi</v>
      </c>
      <c r="C606" s="5" t="str">
        <f>Planilha1!B8</f>
        <v>RGE</v>
      </c>
      <c r="D606" s="6">
        <v>3195679.119143568</v>
      </c>
    </row>
    <row r="607" spans="1:4" x14ac:dyDescent="0.25">
      <c r="A607" s="5" t="s">
        <v>33</v>
      </c>
      <c r="B607" s="5" t="str">
        <f>Planilha1!B21</f>
        <v>Reallizi</v>
      </c>
      <c r="C607" s="5" t="str">
        <f>Planilha1!B9</f>
        <v>CPFL SANTA CRUZ</v>
      </c>
      <c r="D607" s="6">
        <v>567351.23817732371</v>
      </c>
    </row>
    <row r="608" spans="1:4" x14ac:dyDescent="0.25">
      <c r="A608" s="5" t="s">
        <v>33</v>
      </c>
      <c r="B608" s="5" t="str">
        <f>Planilha1!B21</f>
        <v>Reallizi</v>
      </c>
      <c r="C608" s="5" t="str">
        <f>Planilha1!B10</f>
        <v>CPFL PIRATININGA</v>
      </c>
      <c r="D608" s="6">
        <v>1947366.416436241</v>
      </c>
    </row>
    <row r="609" spans="1:4" x14ac:dyDescent="0.25">
      <c r="A609" s="5" t="s">
        <v>33</v>
      </c>
      <c r="B609" s="5" t="str">
        <f>Planilha1!B21</f>
        <v>Reallizi</v>
      </c>
      <c r="C609" s="5" t="str">
        <f>Planilha1!B11</f>
        <v>CELPE</v>
      </c>
      <c r="D609" s="6">
        <v>2694050.7935101939</v>
      </c>
    </row>
    <row r="610" spans="1:4" x14ac:dyDescent="0.25">
      <c r="A610" s="5" t="s">
        <v>33</v>
      </c>
      <c r="B610" s="5" t="str">
        <f>Planilha1!B21</f>
        <v>Reallizi</v>
      </c>
      <c r="C610" s="5" t="str">
        <f>Planilha1!B12</f>
        <v>COELBA</v>
      </c>
      <c r="D610" s="6">
        <v>3300994.602996618</v>
      </c>
    </row>
    <row r="611" spans="1:4" x14ac:dyDescent="0.25">
      <c r="A611" s="5" t="s">
        <v>33</v>
      </c>
      <c r="B611" s="5" t="str">
        <f>Planilha1!B21</f>
        <v>Reallizi</v>
      </c>
      <c r="C611" s="5" t="str">
        <f>Planilha1!B13</f>
        <v>COSERN</v>
      </c>
      <c r="D611" s="6">
        <v>996900.85380262765</v>
      </c>
    </row>
    <row r="612" spans="1:4" x14ac:dyDescent="0.25">
      <c r="A612" s="5" t="s">
        <v>33</v>
      </c>
      <c r="B612" s="5" t="str">
        <f>Planilha1!B21</f>
        <v>Reallizi</v>
      </c>
      <c r="C612" s="5" t="str">
        <f>Planilha1!B14</f>
        <v>ELEKTRO</v>
      </c>
      <c r="D612" s="6">
        <v>1470489.2215649539</v>
      </c>
    </row>
    <row r="613" spans="1:4" x14ac:dyDescent="0.25">
      <c r="A613" s="5" t="s">
        <v>33</v>
      </c>
      <c r="B613" s="5" t="str">
        <f>Planilha1!B21</f>
        <v>Reallizi</v>
      </c>
      <c r="C613" s="5" t="str">
        <f>Planilha1!B15</f>
        <v>COPEL</v>
      </c>
      <c r="D613" s="6">
        <v>1283879.7973252069</v>
      </c>
    </row>
    <row r="614" spans="1:4" x14ac:dyDescent="0.25">
      <c r="A614" s="5" t="s">
        <v>33</v>
      </c>
      <c r="B614" s="5" t="str">
        <f>Planilha1!B22</f>
        <v>Corban</v>
      </c>
      <c r="C614" s="5" t="str">
        <f>Planilha1!B4</f>
        <v>ENEL CE</v>
      </c>
      <c r="D614" s="6">
        <v>2327417.7430177601</v>
      </c>
    </row>
    <row r="615" spans="1:4" x14ac:dyDescent="0.25">
      <c r="A615" s="5" t="s">
        <v>33</v>
      </c>
      <c r="B615" s="5" t="str">
        <f>Planilha1!B22</f>
        <v>Corban</v>
      </c>
      <c r="C615" s="5" t="str">
        <f>Planilha1!B5</f>
        <v>ENEL RJ</v>
      </c>
      <c r="D615" s="6">
        <v>1589022.959285703</v>
      </c>
    </row>
    <row r="616" spans="1:4" x14ac:dyDescent="0.25">
      <c r="A616" s="5" t="s">
        <v>33</v>
      </c>
      <c r="B616" s="5" t="str">
        <f>Planilha1!B22</f>
        <v>Corban</v>
      </c>
      <c r="C616" s="5" t="str">
        <f>Planilha1!B6</f>
        <v>ENEL SP</v>
      </c>
      <c r="D616" s="6">
        <v>6020719.7465985781</v>
      </c>
    </row>
    <row r="617" spans="1:4" x14ac:dyDescent="0.25">
      <c r="A617" s="5" t="s">
        <v>33</v>
      </c>
      <c r="B617" s="5" t="str">
        <f>Planilha1!B22</f>
        <v>Corban</v>
      </c>
      <c r="C617" s="5" t="str">
        <f>Planilha1!B7</f>
        <v>CPFL PAULISTA</v>
      </c>
      <c r="D617" s="6">
        <v>8615943.6643851511</v>
      </c>
    </row>
    <row r="618" spans="1:4" x14ac:dyDescent="0.25">
      <c r="A618" s="5" t="s">
        <v>33</v>
      </c>
      <c r="B618" s="5" t="str">
        <f>Planilha1!B22</f>
        <v>Corban</v>
      </c>
      <c r="C618" s="5" t="str">
        <f>Planilha1!B8</f>
        <v>RGE</v>
      </c>
      <c r="D618" s="6">
        <v>5174439.2455886966</v>
      </c>
    </row>
    <row r="619" spans="1:4" x14ac:dyDescent="0.25">
      <c r="A619" s="5" t="s">
        <v>33</v>
      </c>
      <c r="B619" s="5" t="str">
        <f>Planilha1!B22</f>
        <v>Corban</v>
      </c>
      <c r="C619" s="5" t="str">
        <f>Planilha1!B9</f>
        <v>CPFL SANTA CRUZ</v>
      </c>
      <c r="D619" s="6">
        <v>918654.34651175165</v>
      </c>
    </row>
    <row r="620" spans="1:4" x14ac:dyDescent="0.25">
      <c r="A620" s="5" t="s">
        <v>33</v>
      </c>
      <c r="B620" s="5" t="str">
        <f>Planilha1!B22</f>
        <v>Corban</v>
      </c>
      <c r="C620" s="5" t="str">
        <f>Planilha1!B10</f>
        <v>CPFL PIRATININGA</v>
      </c>
      <c r="D620" s="6">
        <v>3153173.0299159652</v>
      </c>
    </row>
    <row r="621" spans="1:4" x14ac:dyDescent="0.25">
      <c r="A621" s="5" t="s">
        <v>33</v>
      </c>
      <c r="B621" s="5" t="str">
        <f>Planilha1!B22</f>
        <v>Corban</v>
      </c>
      <c r="C621" s="5" t="str">
        <f>Planilha1!B11</f>
        <v>CELPE</v>
      </c>
      <c r="D621" s="6">
        <v>4362203.3489033319</v>
      </c>
    </row>
    <row r="622" spans="1:4" x14ac:dyDescent="0.25">
      <c r="A622" s="5" t="s">
        <v>33</v>
      </c>
      <c r="B622" s="5" t="str">
        <f>Planilha1!B22</f>
        <v>Corban</v>
      </c>
      <c r="C622" s="5" t="str">
        <f>Planilha1!B12</f>
        <v>COELBA</v>
      </c>
      <c r="D622" s="6">
        <v>5344965.9325620215</v>
      </c>
    </row>
    <row r="623" spans="1:4" x14ac:dyDescent="0.25">
      <c r="A623" s="5" t="s">
        <v>33</v>
      </c>
      <c r="B623" s="5" t="str">
        <f>Planilha1!B22</f>
        <v>Corban</v>
      </c>
      <c r="C623" s="5" t="str">
        <f>Planilha1!B13</f>
        <v>COSERN</v>
      </c>
      <c r="D623" s="6">
        <v>1614180.4948363011</v>
      </c>
    </row>
    <row r="624" spans="1:4" x14ac:dyDescent="0.25">
      <c r="A624" s="5" t="s">
        <v>33</v>
      </c>
      <c r="B624" s="5" t="str">
        <f>Planilha1!B22</f>
        <v>Corban</v>
      </c>
      <c r="C624" s="5" t="str">
        <f>Planilha1!B14</f>
        <v>ELEKTRO</v>
      </c>
      <c r="D624" s="6">
        <v>2381014.130204678</v>
      </c>
    </row>
    <row r="625" spans="1:4" x14ac:dyDescent="0.25">
      <c r="A625" s="5" t="s">
        <v>33</v>
      </c>
      <c r="B625" s="5" t="str">
        <f>Planilha1!B22</f>
        <v>Corban</v>
      </c>
      <c r="C625" s="5" t="str">
        <f>Planilha1!B15</f>
        <v>COPEL</v>
      </c>
      <c r="D625" s="6">
        <v>2078856.406483769</v>
      </c>
    </row>
    <row r="626" spans="1:4" x14ac:dyDescent="0.25">
      <c r="A626" s="5" t="s">
        <v>33</v>
      </c>
      <c r="B626" s="5" t="str">
        <f>Planilha1!B23</f>
        <v>Lojas</v>
      </c>
      <c r="C626" s="5" t="str">
        <f>Planilha1!B4</f>
        <v>ENEL CE</v>
      </c>
      <c r="D626" s="6">
        <v>1108753.0026999889</v>
      </c>
    </row>
    <row r="627" spans="1:4" x14ac:dyDescent="0.25">
      <c r="A627" s="5" t="s">
        <v>33</v>
      </c>
      <c r="B627" s="5" t="str">
        <f>Planilha1!B23</f>
        <v>Lojas</v>
      </c>
      <c r="C627" s="5" t="str">
        <f>Planilha1!B5</f>
        <v>ENEL RJ</v>
      </c>
      <c r="D627" s="6">
        <v>756990.86799210706</v>
      </c>
    </row>
    <row r="628" spans="1:4" x14ac:dyDescent="0.25">
      <c r="A628" s="5" t="s">
        <v>33</v>
      </c>
      <c r="B628" s="5" t="str">
        <f>Planilha1!B23</f>
        <v>Lojas</v>
      </c>
      <c r="C628" s="5" t="str">
        <f>Planilha1!B6</f>
        <v>ENEL SP</v>
      </c>
      <c r="D628" s="6">
        <v>2868196.3594557638</v>
      </c>
    </row>
    <row r="629" spans="1:4" x14ac:dyDescent="0.25">
      <c r="A629" s="5" t="s">
        <v>33</v>
      </c>
      <c r="B629" s="5" t="str">
        <f>Planilha1!B23</f>
        <v>Lojas</v>
      </c>
      <c r="C629" s="5" t="str">
        <f>Planilha1!B7</f>
        <v>CPFL PAULISTA</v>
      </c>
      <c r="D629" s="6">
        <v>4104528.9087615618</v>
      </c>
    </row>
    <row r="630" spans="1:4" x14ac:dyDescent="0.25">
      <c r="A630" s="5" t="s">
        <v>33</v>
      </c>
      <c r="B630" s="5" t="str">
        <f>Planilha1!B23</f>
        <v>Lojas</v>
      </c>
      <c r="C630" s="5" t="str">
        <f>Planilha1!B8</f>
        <v>RGE</v>
      </c>
      <c r="D630" s="6">
        <v>2465038.8045062502</v>
      </c>
    </row>
    <row r="631" spans="1:4" x14ac:dyDescent="0.25">
      <c r="A631" s="5" t="s">
        <v>33</v>
      </c>
      <c r="B631" s="5" t="str">
        <f>Planilha1!B23</f>
        <v>Lojas</v>
      </c>
      <c r="C631" s="5" t="str">
        <f>Planilha1!B9</f>
        <v>CPFL SANTA CRUZ</v>
      </c>
      <c r="D631" s="6">
        <v>437635.55906281859</v>
      </c>
    </row>
    <row r="632" spans="1:4" x14ac:dyDescent="0.25">
      <c r="A632" s="5" t="s">
        <v>33</v>
      </c>
      <c r="B632" s="5" t="str">
        <f>Planilha1!B23</f>
        <v>Lojas</v>
      </c>
      <c r="C632" s="5" t="str">
        <f>Planilha1!B10</f>
        <v>CPFL PIRATININGA</v>
      </c>
      <c r="D632" s="6">
        <v>1502132.599719238</v>
      </c>
    </row>
    <row r="633" spans="1:4" x14ac:dyDescent="0.25">
      <c r="A633" s="5" t="s">
        <v>33</v>
      </c>
      <c r="B633" s="5" t="str">
        <f>Planilha1!B23</f>
        <v>Lojas</v>
      </c>
      <c r="C633" s="5" t="str">
        <f>Planilha1!B11</f>
        <v>CELPE</v>
      </c>
      <c r="D633" s="6">
        <v>2078099.6776338529</v>
      </c>
    </row>
    <row r="634" spans="1:4" x14ac:dyDescent="0.25">
      <c r="A634" s="5" t="s">
        <v>33</v>
      </c>
      <c r="B634" s="5" t="str">
        <f>Planilha1!B23</f>
        <v>Lojas</v>
      </c>
      <c r="C634" s="5" t="str">
        <f>Planilha1!B12</f>
        <v>COELBA</v>
      </c>
      <c r="D634" s="6">
        <v>2546275.6073059919</v>
      </c>
    </row>
    <row r="635" spans="1:4" x14ac:dyDescent="0.25">
      <c r="A635" s="5" t="s">
        <v>33</v>
      </c>
      <c r="B635" s="5" t="str">
        <f>Planilha1!B23</f>
        <v>Lojas</v>
      </c>
      <c r="C635" s="5" t="str">
        <f>Planilha1!B13</f>
        <v>COSERN</v>
      </c>
      <c r="D635" s="6">
        <v>768975.60651441908</v>
      </c>
    </row>
    <row r="636" spans="1:4" x14ac:dyDescent="0.25">
      <c r="A636" s="5" t="s">
        <v>33</v>
      </c>
      <c r="B636" s="5" t="str">
        <f>Planilha1!B23</f>
        <v>Lojas</v>
      </c>
      <c r="C636" s="5" t="str">
        <f>Planilha1!B14</f>
        <v>ELEKTRO</v>
      </c>
      <c r="D636" s="6">
        <v>1134285.6581098919</v>
      </c>
    </row>
    <row r="637" spans="1:4" x14ac:dyDescent="0.25">
      <c r="A637" s="5" t="s">
        <v>33</v>
      </c>
      <c r="B637" s="5" t="str">
        <f>Planilha1!B23</f>
        <v>Lojas</v>
      </c>
      <c r="C637" s="5" t="str">
        <f>Planilha1!B15</f>
        <v>COPEL</v>
      </c>
      <c r="D637" s="6">
        <v>990341.45880591893</v>
      </c>
    </row>
    <row r="638" spans="1:4" x14ac:dyDescent="0.25">
      <c r="A638" s="5" t="s">
        <v>33</v>
      </c>
      <c r="B638" s="5" t="str">
        <f>Planilha1!B24</f>
        <v>Canal Interno</v>
      </c>
      <c r="C638" s="5" t="str">
        <f>Planilha1!B4</f>
        <v>ENEL CE</v>
      </c>
      <c r="D638" s="6">
        <v>747456.35617978754</v>
      </c>
    </row>
    <row r="639" spans="1:4" x14ac:dyDescent="0.25">
      <c r="A639" s="5" t="s">
        <v>33</v>
      </c>
      <c r="B639" s="5" t="str">
        <f>Planilha1!B24</f>
        <v>Canal Interno</v>
      </c>
      <c r="C639" s="5" t="str">
        <f>Planilha1!B5</f>
        <v>ENEL RJ</v>
      </c>
      <c r="D639" s="6">
        <v>510318.92087137478</v>
      </c>
    </row>
    <row r="640" spans="1:4" x14ac:dyDescent="0.25">
      <c r="A640" s="5" t="s">
        <v>33</v>
      </c>
      <c r="B640" s="5" t="str">
        <f>Planilha1!B24</f>
        <v>Canal Interno</v>
      </c>
      <c r="C640" s="5" t="str">
        <f>Planilha1!B6</f>
        <v>ENEL SP</v>
      </c>
      <c r="D640" s="6">
        <v>1933570.0507022929</v>
      </c>
    </row>
    <row r="641" spans="1:4" x14ac:dyDescent="0.25">
      <c r="A641" s="5" t="s">
        <v>33</v>
      </c>
      <c r="B641" s="5" t="str">
        <f>Planilha1!B24</f>
        <v>Canal Interno</v>
      </c>
      <c r="C641" s="5" t="str">
        <f>Planilha1!B7</f>
        <v>CPFL PAULISTA</v>
      </c>
      <c r="D641" s="6">
        <v>2767033.067334706</v>
      </c>
    </row>
    <row r="642" spans="1:4" x14ac:dyDescent="0.25">
      <c r="A642" s="5" t="s">
        <v>33</v>
      </c>
      <c r="B642" s="5" t="str">
        <f>Planilha1!B24</f>
        <v>Canal Interno</v>
      </c>
      <c r="C642" s="5" t="str">
        <f>Planilha1!B8</f>
        <v>RGE</v>
      </c>
      <c r="D642" s="6">
        <v>1661784.832303697</v>
      </c>
    </row>
    <row r="643" spans="1:4" x14ac:dyDescent="0.25">
      <c r="A643" s="5" t="s">
        <v>33</v>
      </c>
      <c r="B643" s="5" t="str">
        <f>Planilha1!B24</f>
        <v>Canal Interno</v>
      </c>
      <c r="C643" s="5" t="str">
        <f>Planilha1!B9</f>
        <v>CPFL SANTA CRUZ</v>
      </c>
      <c r="D643" s="6">
        <v>295028.27006125392</v>
      </c>
    </row>
    <row r="644" spans="1:4" x14ac:dyDescent="0.25">
      <c r="A644" s="5" t="s">
        <v>33</v>
      </c>
      <c r="B644" s="5" t="str">
        <f>Planilha1!B24</f>
        <v>Canal Interno</v>
      </c>
      <c r="C644" s="5" t="str">
        <f>Planilha1!B10</f>
        <v>CPFL PIRATININGA</v>
      </c>
      <c r="D644" s="6">
        <v>1012649.84784787</v>
      </c>
    </row>
    <row r="645" spans="1:4" x14ac:dyDescent="0.25">
      <c r="A645" s="5" t="s">
        <v>33</v>
      </c>
      <c r="B645" s="5" t="str">
        <f>Planilha1!B24</f>
        <v>Canal Interno</v>
      </c>
      <c r="C645" s="5" t="str">
        <f>Planilha1!B11</f>
        <v>CELPE</v>
      </c>
      <c r="D645" s="6">
        <v>1400933.128514725</v>
      </c>
    </row>
    <row r="646" spans="1:4" x14ac:dyDescent="0.25">
      <c r="A646" s="5" t="s">
        <v>33</v>
      </c>
      <c r="B646" s="5" t="str">
        <f>Planilha1!B24</f>
        <v>Canal Interno</v>
      </c>
      <c r="C646" s="5" t="str">
        <f>Planilha1!B12</f>
        <v>COELBA</v>
      </c>
      <c r="D646" s="6">
        <v>1716549.928281364</v>
      </c>
    </row>
    <row r="647" spans="1:4" x14ac:dyDescent="0.25">
      <c r="A647" s="5" t="s">
        <v>33</v>
      </c>
      <c r="B647" s="5" t="str">
        <f>Planilha1!B24</f>
        <v>Canal Interno</v>
      </c>
      <c r="C647" s="5" t="str">
        <f>Planilha1!B13</f>
        <v>COSERN</v>
      </c>
      <c r="D647" s="6">
        <v>518398.32986854599</v>
      </c>
    </row>
    <row r="648" spans="1:4" x14ac:dyDescent="0.25">
      <c r="A648" s="5" t="s">
        <v>33</v>
      </c>
      <c r="B648" s="5" t="str">
        <f>Planilha1!B24</f>
        <v>Canal Interno</v>
      </c>
      <c r="C648" s="5" t="str">
        <f>Planilha1!B14</f>
        <v>ELEKTRO</v>
      </c>
      <c r="D648" s="6">
        <v>764668.97750284709</v>
      </c>
    </row>
    <row r="649" spans="1:4" x14ac:dyDescent="0.25">
      <c r="A649" s="5" t="s">
        <v>33</v>
      </c>
      <c r="B649" s="5" t="str">
        <f>Planilha1!B24</f>
        <v>Canal Interno</v>
      </c>
      <c r="C649" s="5" t="str">
        <f>Planilha1!B15</f>
        <v>COPEL</v>
      </c>
      <c r="D649" s="6">
        <v>667630.22636263724</v>
      </c>
    </row>
    <row r="650" spans="1:4" x14ac:dyDescent="0.25">
      <c r="A650" s="5" t="s">
        <v>33</v>
      </c>
      <c r="B650" s="5" t="str">
        <f>Planilha1!B25</f>
        <v>Canal Digital</v>
      </c>
      <c r="C650" s="5" t="str">
        <f>Planilha1!B4</f>
        <v>ENEL CE</v>
      </c>
      <c r="D650" s="6">
        <v>128538.87196728381</v>
      </c>
    </row>
    <row r="651" spans="1:4" x14ac:dyDescent="0.25">
      <c r="A651" s="5" t="s">
        <v>33</v>
      </c>
      <c r="B651" s="5" t="str">
        <f>Planilha1!B25</f>
        <v>Canal Digital</v>
      </c>
      <c r="C651" s="5" t="str">
        <f>Planilha1!B5</f>
        <v>ENEL RJ</v>
      </c>
      <c r="D651" s="6">
        <v>87758.727168533384</v>
      </c>
    </row>
    <row r="652" spans="1:4" x14ac:dyDescent="0.25">
      <c r="A652" s="5" t="s">
        <v>33</v>
      </c>
      <c r="B652" s="5" t="str">
        <f>Planilha1!B25</f>
        <v>Canal Digital</v>
      </c>
      <c r="C652" s="5" t="str">
        <f>Planilha1!B6</f>
        <v>ENEL SP</v>
      </c>
      <c r="D652" s="6">
        <v>332512.94357474812</v>
      </c>
    </row>
    <row r="653" spans="1:4" x14ac:dyDescent="0.25">
      <c r="A653" s="5" t="s">
        <v>33</v>
      </c>
      <c r="B653" s="5" t="str">
        <f>Planilha1!B25</f>
        <v>Canal Digital</v>
      </c>
      <c r="C653" s="5" t="str">
        <f>Planilha1!B7</f>
        <v>CPFL PAULISTA</v>
      </c>
      <c r="D653" s="6">
        <v>475842.2431367028</v>
      </c>
    </row>
    <row r="654" spans="1:4" x14ac:dyDescent="0.25">
      <c r="A654" s="5" t="s">
        <v>33</v>
      </c>
      <c r="B654" s="5" t="str">
        <f>Planilha1!B25</f>
        <v>Canal Digital</v>
      </c>
      <c r="C654" s="5" t="str">
        <f>Planilha1!B8</f>
        <v>RGE</v>
      </c>
      <c r="D654" s="6">
        <v>285774.47503206512</v>
      </c>
    </row>
    <row r="655" spans="1:4" x14ac:dyDescent="0.25">
      <c r="A655" s="5" t="s">
        <v>33</v>
      </c>
      <c r="B655" s="5" t="str">
        <f>Planilha1!B25</f>
        <v>Canal Digital</v>
      </c>
      <c r="C655" s="5" t="str">
        <f>Planilha1!B9</f>
        <v>CPFL SANTA CRUZ</v>
      </c>
      <c r="D655" s="6">
        <v>50735.538896148108</v>
      </c>
    </row>
    <row r="656" spans="1:4" x14ac:dyDescent="0.25">
      <c r="A656" s="5" t="s">
        <v>33</v>
      </c>
      <c r="B656" s="5" t="str">
        <f>Planilha1!B25</f>
        <v>Canal Digital</v>
      </c>
      <c r="C656" s="5" t="str">
        <f>Planilha1!B10</f>
        <v>CPFL PIRATININGA</v>
      </c>
      <c r="D656" s="6">
        <v>174143.7718256528</v>
      </c>
    </row>
    <row r="657" spans="1:4" x14ac:dyDescent="0.25">
      <c r="A657" s="5" t="s">
        <v>33</v>
      </c>
      <c r="B657" s="5" t="str">
        <f>Planilha1!B25</f>
        <v>Canal Digital</v>
      </c>
      <c r="C657" s="5" t="str">
        <f>Planilha1!B11</f>
        <v>CELPE</v>
      </c>
      <c r="D657" s="6">
        <v>240916.22547867769</v>
      </c>
    </row>
    <row r="658" spans="1:4" x14ac:dyDescent="0.25">
      <c r="A658" s="5" t="s">
        <v>33</v>
      </c>
      <c r="B658" s="5" t="str">
        <f>Planilha1!B25</f>
        <v>Canal Digital</v>
      </c>
      <c r="C658" s="5" t="str">
        <f>Planilha1!B12</f>
        <v>COELBA</v>
      </c>
      <c r="D658" s="6">
        <v>295192.34084048169</v>
      </c>
    </row>
    <row r="659" spans="1:4" x14ac:dyDescent="0.25">
      <c r="A659" s="5" t="s">
        <v>33</v>
      </c>
      <c r="B659" s="5" t="str">
        <f>Planilha1!B25</f>
        <v>Canal Digital</v>
      </c>
      <c r="C659" s="5" t="str">
        <f>Planilha1!B13</f>
        <v>COSERN</v>
      </c>
      <c r="D659" s="6">
        <v>89148.130188619427</v>
      </c>
    </row>
    <row r="660" spans="1:4" x14ac:dyDescent="0.25">
      <c r="A660" s="5" t="s">
        <v>33</v>
      </c>
      <c r="B660" s="5" t="str">
        <f>Planilha1!B25</f>
        <v>Canal Digital</v>
      </c>
      <c r="C660" s="5" t="str">
        <f>Planilha1!B14</f>
        <v>ELEKTRO</v>
      </c>
      <c r="D660" s="6">
        <v>131498.8988774489</v>
      </c>
    </row>
    <row r="661" spans="1:4" x14ac:dyDescent="0.25">
      <c r="A661" s="5" t="s">
        <v>33</v>
      </c>
      <c r="B661" s="5" t="str">
        <f>Planilha1!B25</f>
        <v>Canal Digital</v>
      </c>
      <c r="C661" s="5" t="str">
        <f>Planilha1!B15</f>
        <v>COPEL</v>
      </c>
      <c r="D661" s="6">
        <v>114811.3003232982</v>
      </c>
    </row>
    <row r="662" spans="1:4" x14ac:dyDescent="0.25">
      <c r="A662" s="5" t="s">
        <v>34</v>
      </c>
      <c r="B662" s="5" t="str">
        <f>Planilha1!B21</f>
        <v>Reallizi</v>
      </c>
      <c r="C662" s="5" t="str">
        <f>Planilha1!B4</f>
        <v>ENEL CE</v>
      </c>
      <c r="D662" s="6">
        <v>1718160.6784639871</v>
      </c>
    </row>
    <row r="663" spans="1:4" x14ac:dyDescent="0.25">
      <c r="A663" s="5" t="s">
        <v>34</v>
      </c>
      <c r="B663" s="5" t="str">
        <f>Planilha1!B21</f>
        <v>Reallizi</v>
      </c>
      <c r="C663" s="5" t="str">
        <f>Planilha1!B5</f>
        <v>ENEL RJ</v>
      </c>
      <c r="D663" s="6">
        <v>1173058.32784499</v>
      </c>
    </row>
    <row r="664" spans="1:4" x14ac:dyDescent="0.25">
      <c r="A664" s="5" t="s">
        <v>34</v>
      </c>
      <c r="B664" s="5" t="str">
        <f>Planilha1!B21</f>
        <v>Reallizi</v>
      </c>
      <c r="C664" s="5" t="str">
        <f>Planilha1!B6</f>
        <v>ENEL SP</v>
      </c>
      <c r="D664" s="6">
        <v>4444652.8585987492</v>
      </c>
    </row>
    <row r="665" spans="1:4" x14ac:dyDescent="0.25">
      <c r="A665" s="5" t="s">
        <v>34</v>
      </c>
      <c r="B665" s="5" t="str">
        <f>Planilha1!B21</f>
        <v>Reallizi</v>
      </c>
      <c r="C665" s="5" t="str">
        <f>Planilha1!B7</f>
        <v>CPFL PAULISTA</v>
      </c>
      <c r="D665" s="6">
        <v>6228550.3060542718</v>
      </c>
    </row>
    <row r="666" spans="1:4" x14ac:dyDescent="0.25">
      <c r="A666" s="5" t="s">
        <v>34</v>
      </c>
      <c r="B666" s="5" t="str">
        <f>Planilha1!B21</f>
        <v>Reallizi</v>
      </c>
      <c r="C666" s="5" t="str">
        <f>Planilha1!B8</f>
        <v>RGE</v>
      </c>
      <c r="D666" s="6">
        <v>3740652.9571442739</v>
      </c>
    </row>
    <row r="667" spans="1:4" x14ac:dyDescent="0.25">
      <c r="A667" s="5" t="s">
        <v>34</v>
      </c>
      <c r="B667" s="5" t="str">
        <f>Planilha1!B21</f>
        <v>Reallizi</v>
      </c>
      <c r="C667" s="5" t="str">
        <f>Planilha1!B9</f>
        <v>CPFL SANTA CRUZ</v>
      </c>
      <c r="D667" s="6">
        <v>664104.25067840726</v>
      </c>
    </row>
    <row r="668" spans="1:4" x14ac:dyDescent="0.25">
      <c r="A668" s="5" t="s">
        <v>34</v>
      </c>
      <c r="B668" s="5" t="str">
        <f>Planilha1!B21</f>
        <v>Reallizi</v>
      </c>
      <c r="C668" s="5" t="str">
        <f>Planilha1!B10</f>
        <v>CPFL PIRATININGA</v>
      </c>
      <c r="D668" s="6">
        <v>2279459.755720994</v>
      </c>
    </row>
    <row r="669" spans="1:4" x14ac:dyDescent="0.25">
      <c r="A669" s="5" t="s">
        <v>34</v>
      </c>
      <c r="B669" s="5" t="str">
        <f>Planilha1!B21</f>
        <v>Reallizi</v>
      </c>
      <c r="C669" s="5" t="str">
        <f>Planilha1!B11</f>
        <v>CELPE</v>
      </c>
      <c r="D669" s="6">
        <v>3220292.6561140488</v>
      </c>
    </row>
    <row r="670" spans="1:4" x14ac:dyDescent="0.25">
      <c r="A670" s="5" t="s">
        <v>34</v>
      </c>
      <c r="B670" s="5" t="str">
        <f>Planilha1!B21</f>
        <v>Reallizi</v>
      </c>
      <c r="C670" s="5" t="str">
        <f>Planilha1!B12</f>
        <v>COELBA</v>
      </c>
      <c r="D670" s="6">
        <v>3945793.7109090742</v>
      </c>
    </row>
    <row r="671" spans="1:4" x14ac:dyDescent="0.25">
      <c r="A671" s="5" t="s">
        <v>34</v>
      </c>
      <c r="B671" s="5" t="str">
        <f>Planilha1!B21</f>
        <v>Reallizi</v>
      </c>
      <c r="C671" s="5" t="str">
        <f>Planilha1!B13</f>
        <v>COSERN</v>
      </c>
      <c r="D671" s="6">
        <v>1191630.27887517</v>
      </c>
    </row>
    <row r="672" spans="1:4" x14ac:dyDescent="0.25">
      <c r="A672" s="5" t="s">
        <v>34</v>
      </c>
      <c r="B672" s="5" t="str">
        <f>Planilha1!B21</f>
        <v>Reallizi</v>
      </c>
      <c r="C672" s="5" t="str">
        <f>Planilha1!B14</f>
        <v>ELEKTRO</v>
      </c>
      <c r="D672" s="6">
        <v>1757726.9339196519</v>
      </c>
    </row>
    <row r="673" spans="1:4" x14ac:dyDescent="0.25">
      <c r="A673" s="5" t="s">
        <v>34</v>
      </c>
      <c r="B673" s="5" t="str">
        <f>Planilha1!B21</f>
        <v>Reallizi</v>
      </c>
      <c r="C673" s="5" t="str">
        <f>Planilha1!B15</f>
        <v>COPEL</v>
      </c>
      <c r="D673" s="6">
        <v>1320841.1183178851</v>
      </c>
    </row>
    <row r="674" spans="1:4" x14ac:dyDescent="0.25">
      <c r="A674" s="5" t="s">
        <v>34</v>
      </c>
      <c r="B674" s="5" t="str">
        <f>Planilha1!B22</f>
        <v>Corban</v>
      </c>
      <c r="C674" s="5" t="str">
        <f>Planilha1!B4</f>
        <v>ENEL CE</v>
      </c>
      <c r="D674" s="6">
        <v>2782043.4134369469</v>
      </c>
    </row>
    <row r="675" spans="1:4" x14ac:dyDescent="0.25">
      <c r="A675" s="5" t="s">
        <v>34</v>
      </c>
      <c r="B675" s="5" t="str">
        <f>Planilha1!B22</f>
        <v>Corban</v>
      </c>
      <c r="C675" s="5" t="str">
        <f>Planilha1!B5</f>
        <v>ENEL RJ</v>
      </c>
      <c r="D675" s="6">
        <v>1899414.4351365541</v>
      </c>
    </row>
    <row r="676" spans="1:4" x14ac:dyDescent="0.25">
      <c r="A676" s="5" t="s">
        <v>34</v>
      </c>
      <c r="B676" s="5" t="str">
        <f>Planilha1!B22</f>
        <v>Corban</v>
      </c>
      <c r="C676" s="5" t="str">
        <f>Planilha1!B6</f>
        <v>ENEL SP</v>
      </c>
      <c r="D676" s="6">
        <v>7196775.8110566745</v>
      </c>
    </row>
    <row r="677" spans="1:4" x14ac:dyDescent="0.25">
      <c r="A677" s="5" t="s">
        <v>34</v>
      </c>
      <c r="B677" s="5" t="str">
        <f>Planilha1!B22</f>
        <v>Corban</v>
      </c>
      <c r="C677" s="5" t="str">
        <f>Planilha1!B7</f>
        <v>CPFL PAULISTA</v>
      </c>
      <c r="D677" s="6">
        <v>10085260.110660929</v>
      </c>
    </row>
    <row r="678" spans="1:4" x14ac:dyDescent="0.25">
      <c r="A678" s="5" t="s">
        <v>34</v>
      </c>
      <c r="B678" s="5" t="str">
        <f>Planilha1!B22</f>
        <v>Corban</v>
      </c>
      <c r="C678" s="5" t="str">
        <f>Planilha1!B8</f>
        <v>RGE</v>
      </c>
      <c r="D678" s="6">
        <v>6056860.1364338519</v>
      </c>
    </row>
    <row r="679" spans="1:4" x14ac:dyDescent="0.25">
      <c r="A679" s="5" t="s">
        <v>34</v>
      </c>
      <c r="B679" s="5" t="str">
        <f>Planilha1!B22</f>
        <v>Corban</v>
      </c>
      <c r="C679" s="5" t="str">
        <f>Planilha1!B9</f>
        <v>CPFL SANTA CRUZ</v>
      </c>
      <c r="D679" s="6">
        <v>1075316.691618762</v>
      </c>
    </row>
    <row r="680" spans="1:4" x14ac:dyDescent="0.25">
      <c r="A680" s="5" t="s">
        <v>34</v>
      </c>
      <c r="B680" s="5" t="str">
        <f>Planilha1!B22</f>
        <v>Corban</v>
      </c>
      <c r="C680" s="5" t="str">
        <f>Planilha1!B10</f>
        <v>CPFL PIRATININGA</v>
      </c>
      <c r="D680" s="6">
        <v>3690898.1092894352</v>
      </c>
    </row>
    <row r="681" spans="1:4" x14ac:dyDescent="0.25">
      <c r="A681" s="5" t="s">
        <v>34</v>
      </c>
      <c r="B681" s="5" t="str">
        <f>Planilha1!B22</f>
        <v>Corban</v>
      </c>
      <c r="C681" s="5" t="str">
        <f>Planilha1!B11</f>
        <v>CELPE</v>
      </c>
      <c r="D681" s="6">
        <v>5214293.4508841643</v>
      </c>
    </row>
    <row r="682" spans="1:4" x14ac:dyDescent="0.25">
      <c r="A682" s="5" t="s">
        <v>34</v>
      </c>
      <c r="B682" s="5" t="str">
        <f>Planilha1!B22</f>
        <v>Corban</v>
      </c>
      <c r="C682" s="5" t="str">
        <f>Planilha1!B12</f>
        <v>COELBA</v>
      </c>
      <c r="D682" s="6">
        <v>6389023.7634987319</v>
      </c>
    </row>
    <row r="683" spans="1:4" x14ac:dyDescent="0.25">
      <c r="A683" s="5" t="s">
        <v>34</v>
      </c>
      <c r="B683" s="5" t="str">
        <f>Planilha1!B22</f>
        <v>Corban</v>
      </c>
      <c r="C683" s="5" t="str">
        <f>Planilha1!B13</f>
        <v>COSERN</v>
      </c>
      <c r="D683" s="6">
        <v>1929486.1127658989</v>
      </c>
    </row>
    <row r="684" spans="1:4" x14ac:dyDescent="0.25">
      <c r="A684" s="5" t="s">
        <v>34</v>
      </c>
      <c r="B684" s="5" t="str">
        <f>Planilha1!B22</f>
        <v>Corban</v>
      </c>
      <c r="C684" s="5" t="str">
        <f>Planilha1!B14</f>
        <v>ELEKTRO</v>
      </c>
      <c r="D684" s="6">
        <v>2846109.0399901061</v>
      </c>
    </row>
    <row r="685" spans="1:4" x14ac:dyDescent="0.25">
      <c r="A685" s="5" t="s">
        <v>34</v>
      </c>
      <c r="B685" s="5" t="str">
        <f>Planilha1!B22</f>
        <v>Corban</v>
      </c>
      <c r="C685" s="5" t="str">
        <f>Planilha1!B15</f>
        <v>COPEL</v>
      </c>
      <c r="D685" s="6">
        <v>2138704.1267281468</v>
      </c>
    </row>
    <row r="686" spans="1:4" x14ac:dyDescent="0.25">
      <c r="A686" s="5" t="s">
        <v>34</v>
      </c>
      <c r="B686" s="5" t="str">
        <f>Planilha1!B23</f>
        <v>Lojas</v>
      </c>
      <c r="C686" s="5" t="str">
        <f>Planilha1!B4</f>
        <v>ENEL CE</v>
      </c>
      <c r="D686" s="6">
        <v>1325331.0444778199</v>
      </c>
    </row>
    <row r="687" spans="1:4" x14ac:dyDescent="0.25">
      <c r="A687" s="5" t="s">
        <v>34</v>
      </c>
      <c r="B687" s="5" t="str">
        <f>Planilha1!B23</f>
        <v>Lojas</v>
      </c>
      <c r="C687" s="5" t="str">
        <f>Planilha1!B5</f>
        <v>ENEL RJ</v>
      </c>
      <c r="D687" s="6">
        <v>904857.5248888121</v>
      </c>
    </row>
    <row r="688" spans="1:4" x14ac:dyDescent="0.25">
      <c r="A688" s="5" t="s">
        <v>34</v>
      </c>
      <c r="B688" s="5" t="str">
        <f>Planilha1!B23</f>
        <v>Lojas</v>
      </c>
      <c r="C688" s="5" t="str">
        <f>Planilha1!B6</f>
        <v>ENEL SP</v>
      </c>
      <c r="D688" s="6">
        <v>3428454.9106863281</v>
      </c>
    </row>
    <row r="689" spans="1:4" x14ac:dyDescent="0.25">
      <c r="A689" s="5" t="s">
        <v>34</v>
      </c>
      <c r="B689" s="5" t="str">
        <f>Planilha1!B23</f>
        <v>Lojas</v>
      </c>
      <c r="C689" s="5" t="str">
        <f>Planilha1!B7</f>
        <v>CPFL PAULISTA</v>
      </c>
      <c r="D689" s="6">
        <v>4804493.0757496553</v>
      </c>
    </row>
    <row r="690" spans="1:4" x14ac:dyDescent="0.25">
      <c r="A690" s="5" t="s">
        <v>34</v>
      </c>
      <c r="B690" s="5" t="str">
        <f>Planilha1!B23</f>
        <v>Lojas</v>
      </c>
      <c r="C690" s="5" t="str">
        <f>Planilha1!B8</f>
        <v>RGE</v>
      </c>
      <c r="D690" s="6">
        <v>2885413.1938074031</v>
      </c>
    </row>
    <row r="691" spans="1:4" x14ac:dyDescent="0.25">
      <c r="A691" s="5" t="s">
        <v>34</v>
      </c>
      <c r="B691" s="5" t="str">
        <f>Planilha1!B23</f>
        <v>Lojas</v>
      </c>
      <c r="C691" s="5" t="str">
        <f>Planilha1!B9</f>
        <v>CPFL SANTA CRUZ</v>
      </c>
      <c r="D691" s="6">
        <v>512267.5610179971</v>
      </c>
    </row>
    <row r="692" spans="1:4" x14ac:dyDescent="0.25">
      <c r="A692" s="5" t="s">
        <v>34</v>
      </c>
      <c r="B692" s="5" t="str">
        <f>Planilha1!B23</f>
        <v>Lojas</v>
      </c>
      <c r="C692" s="5" t="str">
        <f>Planilha1!B10</f>
        <v>CPFL PIRATININGA</v>
      </c>
      <c r="D692" s="6">
        <v>1758298.171272102</v>
      </c>
    </row>
    <row r="693" spans="1:4" x14ac:dyDescent="0.25">
      <c r="A693" s="5" t="s">
        <v>34</v>
      </c>
      <c r="B693" s="5" t="str">
        <f>Planilha1!B23</f>
        <v>Lojas</v>
      </c>
      <c r="C693" s="5" t="str">
        <f>Planilha1!B11</f>
        <v>CELPE</v>
      </c>
      <c r="D693" s="6">
        <v>2484024.8545714482</v>
      </c>
    </row>
    <row r="694" spans="1:4" x14ac:dyDescent="0.25">
      <c r="A694" s="5" t="s">
        <v>34</v>
      </c>
      <c r="B694" s="5" t="str">
        <f>Planilha1!B23</f>
        <v>Lojas</v>
      </c>
      <c r="C694" s="5" t="str">
        <f>Planilha1!B12</f>
        <v>COELBA</v>
      </c>
      <c r="D694" s="6">
        <v>3043651.834034652</v>
      </c>
    </row>
    <row r="695" spans="1:4" x14ac:dyDescent="0.25">
      <c r="A695" s="5" t="s">
        <v>34</v>
      </c>
      <c r="B695" s="5" t="str">
        <f>Planilha1!B23</f>
        <v>Lojas</v>
      </c>
      <c r="C695" s="5" t="str">
        <f>Planilha1!B13</f>
        <v>COSERN</v>
      </c>
      <c r="D695" s="6">
        <v>919183.29986745026</v>
      </c>
    </row>
    <row r="696" spans="1:4" x14ac:dyDescent="0.25">
      <c r="A696" s="5" t="s">
        <v>34</v>
      </c>
      <c r="B696" s="5" t="str">
        <f>Planilha1!B23</f>
        <v>Lojas</v>
      </c>
      <c r="C696" s="5" t="str">
        <f>Planilha1!B14</f>
        <v>ELEKTRO</v>
      </c>
      <c r="D696" s="6">
        <v>1355851.1159277221</v>
      </c>
    </row>
    <row r="697" spans="1:4" x14ac:dyDescent="0.25">
      <c r="A697" s="5" t="s">
        <v>34</v>
      </c>
      <c r="B697" s="5" t="str">
        <f>Planilha1!B23</f>
        <v>Lojas</v>
      </c>
      <c r="C697" s="5" t="str">
        <f>Planilha1!B15</f>
        <v>COPEL</v>
      </c>
      <c r="D697" s="6">
        <v>1018852.171901911</v>
      </c>
    </row>
    <row r="698" spans="1:4" x14ac:dyDescent="0.25">
      <c r="A698" s="5" t="s">
        <v>34</v>
      </c>
      <c r="B698" s="5" t="str">
        <f>Planilha1!B24</f>
        <v>Canal Interno</v>
      </c>
      <c r="C698" s="5" t="str">
        <f>Planilha1!B4</f>
        <v>ENEL CE</v>
      </c>
      <c r="D698" s="6">
        <v>893460.59115512157</v>
      </c>
    </row>
    <row r="699" spans="1:4" x14ac:dyDescent="0.25">
      <c r="A699" s="5" t="s">
        <v>34</v>
      </c>
      <c r="B699" s="5" t="str">
        <f>Planilha1!B24</f>
        <v>Canal Interno</v>
      </c>
      <c r="C699" s="5" t="str">
        <f>Planilha1!B5</f>
        <v>ENEL RJ</v>
      </c>
      <c r="D699" s="6">
        <v>610001.96325805446</v>
      </c>
    </row>
    <row r="700" spans="1:4" x14ac:dyDescent="0.25">
      <c r="A700" s="5" t="s">
        <v>34</v>
      </c>
      <c r="B700" s="5" t="str">
        <f>Planilha1!B24</f>
        <v>Canal Interno</v>
      </c>
      <c r="C700" s="5" t="str">
        <f>Planilha1!B6</f>
        <v>ENEL SP</v>
      </c>
      <c r="D700" s="6">
        <v>2311263.5624236669</v>
      </c>
    </row>
    <row r="701" spans="1:4" x14ac:dyDescent="0.25">
      <c r="A701" s="5" t="s">
        <v>34</v>
      </c>
      <c r="B701" s="5" t="str">
        <f>Planilha1!B24</f>
        <v>Canal Interno</v>
      </c>
      <c r="C701" s="5" t="str">
        <f>Planilha1!B7</f>
        <v>CPFL PAULISTA</v>
      </c>
      <c r="D701" s="6">
        <v>3238907.9253412252</v>
      </c>
    </row>
    <row r="702" spans="1:4" x14ac:dyDescent="0.25">
      <c r="A702" s="5" t="s">
        <v>34</v>
      </c>
      <c r="B702" s="5" t="str">
        <f>Planilha1!B24</f>
        <v>Canal Interno</v>
      </c>
      <c r="C702" s="5" t="str">
        <f>Planilha1!B8</f>
        <v>RGE</v>
      </c>
      <c r="D702" s="6">
        <v>1945176.6323648461</v>
      </c>
    </row>
    <row r="703" spans="1:4" x14ac:dyDescent="0.25">
      <c r="A703" s="5" t="s">
        <v>34</v>
      </c>
      <c r="B703" s="5" t="str">
        <f>Planilha1!B24</f>
        <v>Canal Interno</v>
      </c>
      <c r="C703" s="5" t="str">
        <f>Planilha1!B9</f>
        <v>CPFL SANTA CRUZ</v>
      </c>
      <c r="D703" s="6">
        <v>345340.79602508817</v>
      </c>
    </row>
    <row r="704" spans="1:4" x14ac:dyDescent="0.25">
      <c r="A704" s="5" t="s">
        <v>34</v>
      </c>
      <c r="B704" s="5" t="str">
        <f>Planilha1!B24</f>
        <v>Canal Interno</v>
      </c>
      <c r="C704" s="5" t="str">
        <f>Planilha1!B10</f>
        <v>CPFL PIRATININGA</v>
      </c>
      <c r="D704" s="6">
        <v>1185341.677520806</v>
      </c>
    </row>
    <row r="705" spans="1:4" x14ac:dyDescent="0.25">
      <c r="A705" s="5" t="s">
        <v>34</v>
      </c>
      <c r="B705" s="5" t="str">
        <f>Planilha1!B24</f>
        <v>Canal Interno</v>
      </c>
      <c r="C705" s="5" t="str">
        <f>Planilha1!B11</f>
        <v>CELPE</v>
      </c>
      <c r="D705" s="6">
        <v>1674584.115611549</v>
      </c>
    </row>
    <row r="706" spans="1:4" x14ac:dyDescent="0.25">
      <c r="A706" s="5" t="s">
        <v>34</v>
      </c>
      <c r="B706" s="5" t="str">
        <f>Planilha1!B24</f>
        <v>Canal Interno</v>
      </c>
      <c r="C706" s="5" t="str">
        <f>Planilha1!B12</f>
        <v>COELBA</v>
      </c>
      <c r="D706" s="6">
        <v>2051851.8586263149</v>
      </c>
    </row>
    <row r="707" spans="1:4" x14ac:dyDescent="0.25">
      <c r="A707" s="5" t="s">
        <v>34</v>
      </c>
      <c r="B707" s="5" t="str">
        <f>Planilha1!B24</f>
        <v>Canal Interno</v>
      </c>
      <c r="C707" s="5" t="str">
        <f>Planilha1!B13</f>
        <v>COSERN</v>
      </c>
      <c r="D707" s="6">
        <v>619659.56196480803</v>
      </c>
    </row>
    <row r="708" spans="1:4" x14ac:dyDescent="0.25">
      <c r="A708" s="5" t="s">
        <v>34</v>
      </c>
      <c r="B708" s="5" t="str">
        <f>Planilha1!B24</f>
        <v>Canal Interno</v>
      </c>
      <c r="C708" s="5" t="str">
        <f>Planilha1!B14</f>
        <v>ELEKTRO</v>
      </c>
      <c r="D708" s="6">
        <v>914035.43635575578</v>
      </c>
    </row>
    <row r="709" spans="1:4" x14ac:dyDescent="0.25">
      <c r="A709" s="5" t="s">
        <v>34</v>
      </c>
      <c r="B709" s="5" t="str">
        <f>Planilha1!B24</f>
        <v>Canal Interno</v>
      </c>
      <c r="C709" s="5" t="str">
        <f>Planilha1!B15</f>
        <v>COPEL</v>
      </c>
      <c r="D709" s="6">
        <v>686850.4798103635</v>
      </c>
    </row>
    <row r="710" spans="1:4" x14ac:dyDescent="0.25">
      <c r="A710" s="5" t="s">
        <v>34</v>
      </c>
      <c r="B710" s="5" t="str">
        <f>Planilha1!B25</f>
        <v>Canal Digital</v>
      </c>
      <c r="C710" s="5" t="str">
        <f>Planilha1!B4</f>
        <v>ENEL CE</v>
      </c>
      <c r="D710" s="6">
        <v>153646.98632207181</v>
      </c>
    </row>
    <row r="711" spans="1:4" x14ac:dyDescent="0.25">
      <c r="A711" s="5" t="s">
        <v>34</v>
      </c>
      <c r="B711" s="5" t="str">
        <f>Planilha1!B25</f>
        <v>Canal Digital</v>
      </c>
      <c r="C711" s="5" t="str">
        <f>Planilha1!B5</f>
        <v>ENEL RJ</v>
      </c>
      <c r="D711" s="6">
        <v>104901.0602515481</v>
      </c>
    </row>
    <row r="712" spans="1:4" x14ac:dyDescent="0.25">
      <c r="A712" s="5" t="s">
        <v>34</v>
      </c>
      <c r="B712" s="5" t="str">
        <f>Planilha1!B25</f>
        <v>Canal Digital</v>
      </c>
      <c r="C712" s="5" t="str">
        <f>Planilha1!B6</f>
        <v>ENEL SP</v>
      </c>
      <c r="D712" s="6">
        <v>397464.29162957531</v>
      </c>
    </row>
    <row r="713" spans="1:4" x14ac:dyDescent="0.25">
      <c r="A713" s="5" t="s">
        <v>34</v>
      </c>
      <c r="B713" s="5" t="str">
        <f>Planilha1!B25</f>
        <v>Canal Digital</v>
      </c>
      <c r="C713" s="5" t="str">
        <f>Planilha1!B7</f>
        <v>CPFL PAULISTA</v>
      </c>
      <c r="D713" s="6">
        <v>556989.80641100474</v>
      </c>
    </row>
    <row r="714" spans="1:4" x14ac:dyDescent="0.25">
      <c r="A714" s="5" t="s">
        <v>34</v>
      </c>
      <c r="B714" s="5" t="str">
        <f>Planilha1!B25</f>
        <v>Canal Digital</v>
      </c>
      <c r="C714" s="5" t="str">
        <f>Planilha1!B8</f>
        <v>RGE</v>
      </c>
      <c r="D714" s="6">
        <v>334508.90882671898</v>
      </c>
    </row>
    <row r="715" spans="1:4" x14ac:dyDescent="0.25">
      <c r="A715" s="5" t="s">
        <v>34</v>
      </c>
      <c r="B715" s="5" t="str">
        <f>Planilha1!B25</f>
        <v>Canal Digital</v>
      </c>
      <c r="C715" s="5" t="str">
        <f>Planilha1!B9</f>
        <v>CPFL SANTA CRUZ</v>
      </c>
      <c r="D715" s="6">
        <v>59387.703373374403</v>
      </c>
    </row>
    <row r="716" spans="1:4" x14ac:dyDescent="0.25">
      <c r="A716" s="5" t="s">
        <v>34</v>
      </c>
      <c r="B716" s="5" t="str">
        <f>Planilha1!B25</f>
        <v>Canal Digital</v>
      </c>
      <c r="C716" s="5" t="str">
        <f>Planilha1!B10</f>
        <v>CPFL PIRATININGA</v>
      </c>
      <c r="D716" s="6">
        <v>203841.3090806382</v>
      </c>
    </row>
    <row r="717" spans="1:4" x14ac:dyDescent="0.25">
      <c r="A717" s="5" t="s">
        <v>34</v>
      </c>
      <c r="B717" s="5" t="str">
        <f>Planilha1!B25</f>
        <v>Canal Digital</v>
      </c>
      <c r="C717" s="5" t="str">
        <f>Planilha1!B11</f>
        <v>CELPE</v>
      </c>
      <c r="D717" s="6">
        <v>287975.54727498337</v>
      </c>
    </row>
    <row r="718" spans="1:4" x14ac:dyDescent="0.25">
      <c r="A718" s="5" t="s">
        <v>34</v>
      </c>
      <c r="B718" s="5" t="str">
        <f>Planilha1!B25</f>
        <v>Canal Digital</v>
      </c>
      <c r="C718" s="5" t="str">
        <f>Planilha1!B12</f>
        <v>COELBA</v>
      </c>
      <c r="D718" s="6">
        <v>352853.67656752048</v>
      </c>
    </row>
    <row r="719" spans="1:4" x14ac:dyDescent="0.25">
      <c r="A719" s="5" t="s">
        <v>34</v>
      </c>
      <c r="B719" s="5" t="str">
        <f>Planilha1!B25</f>
        <v>Canal Digital</v>
      </c>
      <c r="C719" s="5" t="str">
        <f>Planilha1!B13</f>
        <v>COSERN</v>
      </c>
      <c r="D719" s="6">
        <v>106561.86202735129</v>
      </c>
    </row>
    <row r="720" spans="1:4" x14ac:dyDescent="0.25">
      <c r="A720" s="5" t="s">
        <v>34</v>
      </c>
      <c r="B720" s="5" t="str">
        <f>Planilha1!B25</f>
        <v>Canal Digital</v>
      </c>
      <c r="C720" s="5" t="str">
        <f>Planilha1!B14</f>
        <v>ELEKTRO</v>
      </c>
      <c r="D720" s="6">
        <v>157185.2094853716</v>
      </c>
    </row>
    <row r="721" spans="1:4" x14ac:dyDescent="0.25">
      <c r="A721" s="5" t="s">
        <v>34</v>
      </c>
      <c r="B721" s="5" t="str">
        <f>Planilha1!B25</f>
        <v>Canal Digital</v>
      </c>
      <c r="C721" s="5" t="str">
        <f>Planilha1!B15</f>
        <v>COPEL</v>
      </c>
      <c r="D721" s="6">
        <v>118116.57651323191</v>
      </c>
    </row>
  </sheetData>
  <mergeCells count="1">
    <mergeCell ref="F1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"/>
  <sheetViews>
    <sheetView workbookViewId="0"/>
  </sheetViews>
  <sheetFormatPr defaultRowHeight="15" x14ac:dyDescent="0.25"/>
  <sheetData>
    <row r="1" spans="1:4" x14ac:dyDescent="0.25">
      <c r="A1" t="s">
        <v>20</v>
      </c>
      <c r="B1" t="s">
        <v>14</v>
      </c>
      <c r="C1" t="s">
        <v>35</v>
      </c>
      <c r="D1" t="s">
        <v>36</v>
      </c>
    </row>
    <row r="2" spans="1:4" x14ac:dyDescent="0.25">
      <c r="A2" t="s">
        <v>23</v>
      </c>
      <c r="B2" t="s">
        <v>37</v>
      </c>
      <c r="C2" t="s">
        <v>38</v>
      </c>
      <c r="D2">
        <v>45661.881337200619</v>
      </c>
    </row>
    <row r="3" spans="1:4" x14ac:dyDescent="0.25">
      <c r="A3" t="s">
        <v>23</v>
      </c>
      <c r="B3" t="s">
        <v>39</v>
      </c>
      <c r="C3" t="s">
        <v>40</v>
      </c>
      <c r="D3">
        <v>471426.43396859831</v>
      </c>
    </row>
    <row r="4" spans="1:4" x14ac:dyDescent="0.25">
      <c r="A4" t="s">
        <v>23</v>
      </c>
      <c r="B4" t="s">
        <v>39</v>
      </c>
      <c r="C4" t="s">
        <v>41</v>
      </c>
      <c r="D4">
        <v>613214.80000000005</v>
      </c>
    </row>
    <row r="5" spans="1:4" x14ac:dyDescent="0.25">
      <c r="A5" t="s">
        <v>23</v>
      </c>
      <c r="B5" t="s">
        <v>39</v>
      </c>
      <c r="C5" t="s">
        <v>42</v>
      </c>
      <c r="D5">
        <v>520969.42395272641</v>
      </c>
    </row>
    <row r="6" spans="1:4" x14ac:dyDescent="0.25">
      <c r="A6" t="s">
        <v>23</v>
      </c>
      <c r="B6" t="s">
        <v>39</v>
      </c>
      <c r="C6" t="s">
        <v>43</v>
      </c>
      <c r="D6">
        <v>934345.72</v>
      </c>
    </row>
    <row r="7" spans="1:4" x14ac:dyDescent="0.25">
      <c r="A7" t="s">
        <v>23</v>
      </c>
      <c r="B7" t="s">
        <v>44</v>
      </c>
      <c r="C7" t="s">
        <v>45</v>
      </c>
      <c r="D7">
        <v>7650000</v>
      </c>
    </row>
    <row r="8" spans="1:4" x14ac:dyDescent="0.25">
      <c r="A8" t="s">
        <v>23</v>
      </c>
      <c r="B8" t="s">
        <v>46</v>
      </c>
      <c r="C8" t="s">
        <v>40</v>
      </c>
      <c r="D8">
        <v>765510.00000000023</v>
      </c>
    </row>
    <row r="9" spans="1:4" x14ac:dyDescent="0.25">
      <c r="A9" t="s">
        <v>23</v>
      </c>
      <c r="B9" t="s">
        <v>46</v>
      </c>
      <c r="C9" t="s">
        <v>41</v>
      </c>
      <c r="D9">
        <v>1526292</v>
      </c>
    </row>
    <row r="10" spans="1:4" x14ac:dyDescent="0.25">
      <c r="A10" t="s">
        <v>23</v>
      </c>
      <c r="B10" t="s">
        <v>46</v>
      </c>
      <c r="C10" t="s">
        <v>42</v>
      </c>
      <c r="D10">
        <v>44205.441301797793</v>
      </c>
    </row>
    <row r="11" spans="1:4" x14ac:dyDescent="0.25">
      <c r="A11" t="s">
        <v>23</v>
      </c>
      <c r="B11" t="s">
        <v>46</v>
      </c>
      <c r="C11" t="s">
        <v>43</v>
      </c>
      <c r="D11">
        <v>1252624.8</v>
      </c>
    </row>
    <row r="12" spans="1:4" x14ac:dyDescent="0.25">
      <c r="A12" t="s">
        <v>23</v>
      </c>
      <c r="B12" t="s">
        <v>47</v>
      </c>
      <c r="C12" t="s">
        <v>40</v>
      </c>
      <c r="D12">
        <v>341683.52669768839</v>
      </c>
    </row>
    <row r="13" spans="1:4" x14ac:dyDescent="0.25">
      <c r="A13" t="s">
        <v>23</v>
      </c>
      <c r="B13" t="s">
        <v>47</v>
      </c>
      <c r="C13" t="s">
        <v>41</v>
      </c>
      <c r="D13">
        <v>1482000</v>
      </c>
    </row>
    <row r="14" spans="1:4" x14ac:dyDescent="0.25">
      <c r="A14" t="s">
        <v>23</v>
      </c>
      <c r="B14" t="s">
        <v>47</v>
      </c>
      <c r="C14" t="s">
        <v>42</v>
      </c>
      <c r="D14">
        <v>332737.60397081531</v>
      </c>
    </row>
    <row r="15" spans="1:4" x14ac:dyDescent="0.25">
      <c r="A15" t="s">
        <v>23</v>
      </c>
      <c r="B15" t="s">
        <v>47</v>
      </c>
      <c r="C15" t="s">
        <v>43</v>
      </c>
      <c r="D15">
        <v>1690720.83</v>
      </c>
    </row>
    <row r="16" spans="1:4" x14ac:dyDescent="0.25">
      <c r="A16" t="s">
        <v>23</v>
      </c>
      <c r="B16" t="s">
        <v>48</v>
      </c>
      <c r="C16" t="s">
        <v>40</v>
      </c>
      <c r="D16">
        <v>429400.00000000017</v>
      </c>
    </row>
    <row r="17" spans="1:4" x14ac:dyDescent="0.25">
      <c r="A17" t="s">
        <v>23</v>
      </c>
      <c r="B17" t="s">
        <v>48</v>
      </c>
      <c r="C17" t="s">
        <v>41</v>
      </c>
      <c r="D17">
        <v>76708.800000000003</v>
      </c>
    </row>
    <row r="18" spans="1:4" x14ac:dyDescent="0.25">
      <c r="A18" t="s">
        <v>23</v>
      </c>
      <c r="B18" t="s">
        <v>48</v>
      </c>
      <c r="C18" t="s">
        <v>42</v>
      </c>
      <c r="D18">
        <v>24796.30115216257</v>
      </c>
    </row>
    <row r="19" spans="1:4" x14ac:dyDescent="0.25">
      <c r="A19" t="s">
        <v>23</v>
      </c>
      <c r="B19" t="s">
        <v>48</v>
      </c>
      <c r="C19" t="s">
        <v>43</v>
      </c>
      <c r="D19">
        <v>0</v>
      </c>
    </row>
    <row r="20" spans="1:4" x14ac:dyDescent="0.25">
      <c r="A20" t="s">
        <v>24</v>
      </c>
      <c r="B20" t="s">
        <v>37</v>
      </c>
      <c r="C20" t="s">
        <v>38</v>
      </c>
      <c r="D20">
        <v>69923.967253391602</v>
      </c>
    </row>
    <row r="21" spans="1:4" x14ac:dyDescent="0.25">
      <c r="A21" t="s">
        <v>24</v>
      </c>
      <c r="B21" t="s">
        <v>39</v>
      </c>
      <c r="C21" t="s">
        <v>40</v>
      </c>
      <c r="D21">
        <v>257556.65805152911</v>
      </c>
    </row>
    <row r="22" spans="1:4" x14ac:dyDescent="0.25">
      <c r="A22" t="s">
        <v>24</v>
      </c>
      <c r="B22" t="s">
        <v>39</v>
      </c>
      <c r="C22" t="s">
        <v>41</v>
      </c>
      <c r="D22">
        <v>797711.89999999991</v>
      </c>
    </row>
    <row r="23" spans="1:4" x14ac:dyDescent="0.25">
      <c r="A23" t="s">
        <v>24</v>
      </c>
      <c r="B23" t="s">
        <v>39</v>
      </c>
      <c r="C23" t="s">
        <v>42</v>
      </c>
      <c r="D23">
        <v>151653.26588158889</v>
      </c>
    </row>
    <row r="24" spans="1:4" x14ac:dyDescent="0.25">
      <c r="A24" t="s">
        <v>24</v>
      </c>
      <c r="B24" t="s">
        <v>39</v>
      </c>
      <c r="C24" t="s">
        <v>43</v>
      </c>
      <c r="D24">
        <v>2680801.766818508</v>
      </c>
    </row>
    <row r="25" spans="1:4" x14ac:dyDescent="0.25">
      <c r="A25" t="s">
        <v>24</v>
      </c>
      <c r="B25" t="s">
        <v>44</v>
      </c>
      <c r="C25" t="s">
        <v>45</v>
      </c>
      <c r="D25">
        <v>7531000</v>
      </c>
    </row>
    <row r="26" spans="1:4" x14ac:dyDescent="0.25">
      <c r="A26" t="s">
        <v>24</v>
      </c>
      <c r="B26" t="s">
        <v>46</v>
      </c>
      <c r="C26" t="s">
        <v>40</v>
      </c>
      <c r="D26">
        <v>735456.75</v>
      </c>
    </row>
    <row r="27" spans="1:4" x14ac:dyDescent="0.25">
      <c r="A27" t="s">
        <v>24</v>
      </c>
      <c r="B27" t="s">
        <v>46</v>
      </c>
      <c r="C27" t="s">
        <v>41</v>
      </c>
      <c r="D27">
        <v>1378861.0192771079</v>
      </c>
    </row>
    <row r="28" spans="1:4" x14ac:dyDescent="0.25">
      <c r="A28" t="s">
        <v>24</v>
      </c>
      <c r="B28" t="s">
        <v>46</v>
      </c>
      <c r="C28" t="s">
        <v>42</v>
      </c>
      <c r="D28">
        <v>40447.594777631573</v>
      </c>
    </row>
    <row r="29" spans="1:4" x14ac:dyDescent="0.25">
      <c r="A29" t="s">
        <v>24</v>
      </c>
      <c r="B29" t="s">
        <v>46</v>
      </c>
      <c r="C29" t="s">
        <v>43</v>
      </c>
      <c r="D29">
        <v>1381367</v>
      </c>
    </row>
    <row r="30" spans="1:4" x14ac:dyDescent="0.25">
      <c r="A30" t="s">
        <v>24</v>
      </c>
      <c r="B30" t="s">
        <v>47</v>
      </c>
      <c r="C30" t="s">
        <v>40</v>
      </c>
      <c r="D30">
        <v>339630.16751112533</v>
      </c>
    </row>
    <row r="31" spans="1:4" x14ac:dyDescent="0.25">
      <c r="A31" t="s">
        <v>24</v>
      </c>
      <c r="B31" t="s">
        <v>47</v>
      </c>
      <c r="C31" t="s">
        <v>41</v>
      </c>
      <c r="D31">
        <v>1402229.7599999991</v>
      </c>
    </row>
    <row r="32" spans="1:4" x14ac:dyDescent="0.25">
      <c r="A32" t="s">
        <v>24</v>
      </c>
      <c r="B32" t="s">
        <v>47</v>
      </c>
      <c r="C32" t="s">
        <v>42</v>
      </c>
      <c r="D32">
        <v>314988.57678278378</v>
      </c>
    </row>
    <row r="33" spans="1:4" x14ac:dyDescent="0.25">
      <c r="A33" t="s">
        <v>24</v>
      </c>
      <c r="B33" t="s">
        <v>47</v>
      </c>
      <c r="C33" t="s">
        <v>43</v>
      </c>
      <c r="D33">
        <v>2047623.4236734691</v>
      </c>
    </row>
    <row r="34" spans="1:4" x14ac:dyDescent="0.25">
      <c r="A34" t="s">
        <v>24</v>
      </c>
      <c r="B34" t="s">
        <v>48</v>
      </c>
      <c r="C34" t="s">
        <v>40</v>
      </c>
      <c r="D34">
        <v>495737.40445049998</v>
      </c>
    </row>
    <row r="35" spans="1:4" x14ac:dyDescent="0.25">
      <c r="A35" t="s">
        <v>24</v>
      </c>
      <c r="B35" t="s">
        <v>48</v>
      </c>
      <c r="C35" t="s">
        <v>41</v>
      </c>
      <c r="D35">
        <v>96422.946494459276</v>
      </c>
    </row>
    <row r="36" spans="1:4" x14ac:dyDescent="0.25">
      <c r="A36" t="s">
        <v>24</v>
      </c>
      <c r="B36" t="s">
        <v>48</v>
      </c>
      <c r="C36" t="s">
        <v>42</v>
      </c>
      <c r="D36">
        <v>27263.854266520331</v>
      </c>
    </row>
    <row r="37" spans="1:4" x14ac:dyDescent="0.25">
      <c r="A37" t="s">
        <v>24</v>
      </c>
      <c r="B37" t="s">
        <v>48</v>
      </c>
      <c r="C37" t="s">
        <v>43</v>
      </c>
      <c r="D37">
        <v>38571.428571428572</v>
      </c>
    </row>
    <row r="38" spans="1:4" x14ac:dyDescent="0.25">
      <c r="A38" t="s">
        <v>25</v>
      </c>
      <c r="B38" t="s">
        <v>37</v>
      </c>
      <c r="C38" t="s">
        <v>38</v>
      </c>
      <c r="D38">
        <v>51698.488884951526</v>
      </c>
    </row>
    <row r="39" spans="1:4" x14ac:dyDescent="0.25">
      <c r="A39" t="s">
        <v>25</v>
      </c>
      <c r="B39" t="s">
        <v>39</v>
      </c>
      <c r="C39" t="s">
        <v>40</v>
      </c>
      <c r="D39">
        <v>341947.65783223498</v>
      </c>
    </row>
    <row r="40" spans="1:4" x14ac:dyDescent="0.25">
      <c r="A40" t="s">
        <v>25</v>
      </c>
      <c r="B40" t="s">
        <v>39</v>
      </c>
      <c r="C40" t="s">
        <v>41</v>
      </c>
      <c r="D40">
        <v>673262.55</v>
      </c>
    </row>
    <row r="41" spans="1:4" x14ac:dyDescent="0.25">
      <c r="A41" t="s">
        <v>25</v>
      </c>
      <c r="B41" t="s">
        <v>39</v>
      </c>
      <c r="C41" t="s">
        <v>42</v>
      </c>
      <c r="D41">
        <v>188171.93109156209</v>
      </c>
    </row>
    <row r="42" spans="1:4" x14ac:dyDescent="0.25">
      <c r="A42" t="s">
        <v>25</v>
      </c>
      <c r="B42" t="s">
        <v>39</v>
      </c>
      <c r="C42" t="s">
        <v>43</v>
      </c>
      <c r="D42">
        <v>965087.59</v>
      </c>
    </row>
    <row r="43" spans="1:4" x14ac:dyDescent="0.25">
      <c r="A43" t="s">
        <v>25</v>
      </c>
      <c r="B43" t="s">
        <v>44</v>
      </c>
      <c r="C43" t="s">
        <v>45</v>
      </c>
      <c r="D43">
        <v>9020000</v>
      </c>
    </row>
    <row r="44" spans="1:4" x14ac:dyDescent="0.25">
      <c r="A44" t="s">
        <v>25</v>
      </c>
      <c r="B44" t="s">
        <v>46</v>
      </c>
      <c r="C44" t="s">
        <v>40</v>
      </c>
      <c r="D44">
        <v>987980.05950000009</v>
      </c>
    </row>
    <row r="45" spans="1:4" x14ac:dyDescent="0.25">
      <c r="A45" t="s">
        <v>25</v>
      </c>
      <c r="B45" t="s">
        <v>46</v>
      </c>
      <c r="C45" t="s">
        <v>41</v>
      </c>
      <c r="D45">
        <v>1718677.35</v>
      </c>
    </row>
    <row r="46" spans="1:4" x14ac:dyDescent="0.25">
      <c r="A46" t="s">
        <v>25</v>
      </c>
      <c r="B46" t="s">
        <v>46</v>
      </c>
      <c r="C46" t="s">
        <v>42</v>
      </c>
      <c r="D46">
        <v>50780.84983298849</v>
      </c>
    </row>
    <row r="47" spans="1:4" x14ac:dyDescent="0.25">
      <c r="A47" t="s">
        <v>25</v>
      </c>
      <c r="B47" t="s">
        <v>46</v>
      </c>
      <c r="C47" t="s">
        <v>43</v>
      </c>
      <c r="D47">
        <v>1605026.83</v>
      </c>
    </row>
    <row r="48" spans="1:4" x14ac:dyDescent="0.25">
      <c r="A48" t="s">
        <v>25</v>
      </c>
      <c r="B48" t="s">
        <v>47</v>
      </c>
      <c r="C48" t="s">
        <v>40</v>
      </c>
      <c r="D48">
        <v>453828.41951631871</v>
      </c>
    </row>
    <row r="49" spans="1:4" x14ac:dyDescent="0.25">
      <c r="A49" t="s">
        <v>25</v>
      </c>
      <c r="B49" t="s">
        <v>47</v>
      </c>
      <c r="C49" t="s">
        <v>41</v>
      </c>
      <c r="D49">
        <v>1577449.17</v>
      </c>
    </row>
    <row r="50" spans="1:4" x14ac:dyDescent="0.25">
      <c r="A50" t="s">
        <v>25</v>
      </c>
      <c r="B50" t="s">
        <v>47</v>
      </c>
      <c r="C50" t="s">
        <v>42</v>
      </c>
      <c r="D50">
        <v>393365.67050669063</v>
      </c>
    </row>
    <row r="51" spans="1:4" x14ac:dyDescent="0.25">
      <c r="A51" t="s">
        <v>25</v>
      </c>
      <c r="B51" t="s">
        <v>47</v>
      </c>
      <c r="C51" t="s">
        <v>43</v>
      </c>
      <c r="D51">
        <v>2408978.39</v>
      </c>
    </row>
    <row r="52" spans="1:4" x14ac:dyDescent="0.25">
      <c r="A52" t="s">
        <v>25</v>
      </c>
      <c r="B52" t="s">
        <v>48</v>
      </c>
      <c r="C52" t="s">
        <v>40</v>
      </c>
      <c r="D52">
        <v>483508.88575166772</v>
      </c>
    </row>
    <row r="53" spans="1:4" x14ac:dyDescent="0.25">
      <c r="A53" t="s">
        <v>25</v>
      </c>
      <c r="B53" t="s">
        <v>48</v>
      </c>
      <c r="C53" t="s">
        <v>41</v>
      </c>
      <c r="D53">
        <v>111857.2866370218</v>
      </c>
    </row>
    <row r="54" spans="1:4" x14ac:dyDescent="0.25">
      <c r="A54" t="s">
        <v>25</v>
      </c>
      <c r="B54" t="s">
        <v>48</v>
      </c>
      <c r="C54" t="s">
        <v>42</v>
      </c>
      <c r="D54">
        <v>24851.708173843988</v>
      </c>
    </row>
    <row r="55" spans="1:4" x14ac:dyDescent="0.25">
      <c r="A55" t="s">
        <v>25</v>
      </c>
      <c r="B55" t="s">
        <v>48</v>
      </c>
      <c r="C55" t="s">
        <v>43</v>
      </c>
      <c r="D55">
        <v>37748.265126766317</v>
      </c>
    </row>
    <row r="56" spans="1:4" x14ac:dyDescent="0.25">
      <c r="A56" t="s">
        <v>26</v>
      </c>
      <c r="B56" t="s">
        <v>37</v>
      </c>
      <c r="C56" t="s">
        <v>38</v>
      </c>
      <c r="D56">
        <v>48839.65</v>
      </c>
    </row>
    <row r="57" spans="1:4" x14ac:dyDescent="0.25">
      <c r="A57" t="s">
        <v>26</v>
      </c>
      <c r="B57" t="s">
        <v>39</v>
      </c>
      <c r="C57" t="s">
        <v>40</v>
      </c>
      <c r="D57">
        <v>341832.74</v>
      </c>
    </row>
    <row r="58" spans="1:4" x14ac:dyDescent="0.25">
      <c r="A58" t="s">
        <v>26</v>
      </c>
      <c r="B58" t="s">
        <v>39</v>
      </c>
      <c r="C58" t="s">
        <v>41</v>
      </c>
      <c r="D58">
        <v>627342.93999999994</v>
      </c>
    </row>
    <row r="59" spans="1:4" x14ac:dyDescent="0.25">
      <c r="A59" t="s">
        <v>26</v>
      </c>
      <c r="B59" t="s">
        <v>39</v>
      </c>
      <c r="C59" t="s">
        <v>42</v>
      </c>
      <c r="D59">
        <v>174174.73</v>
      </c>
    </row>
    <row r="60" spans="1:4" x14ac:dyDescent="0.25">
      <c r="A60" t="s">
        <v>26</v>
      </c>
      <c r="B60" t="s">
        <v>39</v>
      </c>
      <c r="C60" t="s">
        <v>43</v>
      </c>
      <c r="D60">
        <v>1633741.28</v>
      </c>
    </row>
    <row r="61" spans="1:4" x14ac:dyDescent="0.25">
      <c r="A61" t="s">
        <v>26</v>
      </c>
      <c r="B61" t="s">
        <v>44</v>
      </c>
      <c r="C61" t="s">
        <v>45</v>
      </c>
      <c r="D61">
        <v>9520000</v>
      </c>
    </row>
    <row r="62" spans="1:4" x14ac:dyDescent="0.25">
      <c r="A62" t="s">
        <v>26</v>
      </c>
      <c r="B62" t="s">
        <v>46</v>
      </c>
      <c r="C62" t="s">
        <v>40</v>
      </c>
      <c r="D62">
        <v>997139.57</v>
      </c>
    </row>
    <row r="63" spans="1:4" x14ac:dyDescent="0.25">
      <c r="A63" t="s">
        <v>26</v>
      </c>
      <c r="B63" t="s">
        <v>46</v>
      </c>
      <c r="C63" t="s">
        <v>41</v>
      </c>
      <c r="D63">
        <v>1610481.32</v>
      </c>
    </row>
    <row r="64" spans="1:4" x14ac:dyDescent="0.25">
      <c r="A64" t="s">
        <v>26</v>
      </c>
      <c r="B64" t="s">
        <v>46</v>
      </c>
      <c r="C64" t="s">
        <v>42</v>
      </c>
      <c r="D64">
        <v>47571.93</v>
      </c>
    </row>
    <row r="65" spans="1:4" x14ac:dyDescent="0.25">
      <c r="A65" t="s">
        <v>26</v>
      </c>
      <c r="B65" t="s">
        <v>46</v>
      </c>
      <c r="C65" t="s">
        <v>43</v>
      </c>
      <c r="D65">
        <v>1845519.89</v>
      </c>
    </row>
    <row r="66" spans="1:4" x14ac:dyDescent="0.25">
      <c r="A66" t="s">
        <v>26</v>
      </c>
      <c r="B66" t="s">
        <v>47</v>
      </c>
      <c r="C66" t="s">
        <v>40</v>
      </c>
      <c r="D66">
        <v>487521.28000000003</v>
      </c>
    </row>
    <row r="67" spans="1:4" x14ac:dyDescent="0.25">
      <c r="A67" t="s">
        <v>26</v>
      </c>
      <c r="B67" t="s">
        <v>47</v>
      </c>
      <c r="C67" t="s">
        <v>41</v>
      </c>
      <c r="D67">
        <v>1511163.63</v>
      </c>
    </row>
    <row r="68" spans="1:4" x14ac:dyDescent="0.25">
      <c r="A68" t="s">
        <v>26</v>
      </c>
      <c r="B68" t="s">
        <v>47</v>
      </c>
      <c r="C68" t="s">
        <v>42</v>
      </c>
      <c r="D68">
        <v>391268.80999999202</v>
      </c>
    </row>
    <row r="69" spans="1:4" x14ac:dyDescent="0.25">
      <c r="A69" t="s">
        <v>26</v>
      </c>
      <c r="B69" t="s">
        <v>47</v>
      </c>
      <c r="C69" t="s">
        <v>43</v>
      </c>
      <c r="D69">
        <v>3124389.3</v>
      </c>
    </row>
    <row r="70" spans="1:4" x14ac:dyDescent="0.25">
      <c r="A70" t="s">
        <v>26</v>
      </c>
      <c r="B70" t="s">
        <v>48</v>
      </c>
      <c r="C70" t="s">
        <v>40</v>
      </c>
      <c r="D70">
        <v>548988.75</v>
      </c>
    </row>
    <row r="71" spans="1:4" x14ac:dyDescent="0.25">
      <c r="A71" t="s">
        <v>26</v>
      </c>
      <c r="B71" t="s">
        <v>48</v>
      </c>
      <c r="C71" t="s">
        <v>41</v>
      </c>
      <c r="D71">
        <v>40304.42</v>
      </c>
    </row>
    <row r="72" spans="1:4" x14ac:dyDescent="0.25">
      <c r="A72" t="s">
        <v>26</v>
      </c>
      <c r="B72" t="s">
        <v>48</v>
      </c>
      <c r="C72" t="s">
        <v>42</v>
      </c>
      <c r="D72">
        <v>26127.11</v>
      </c>
    </row>
    <row r="73" spans="1:4" x14ac:dyDescent="0.25">
      <c r="A73" t="s">
        <v>26</v>
      </c>
      <c r="B73" t="s">
        <v>48</v>
      </c>
      <c r="C73" t="s">
        <v>43</v>
      </c>
      <c r="D73">
        <v>146756.09</v>
      </c>
    </row>
    <row r="74" spans="1:4" x14ac:dyDescent="0.25">
      <c r="A74" t="s">
        <v>27</v>
      </c>
      <c r="B74" t="s">
        <v>37</v>
      </c>
      <c r="C74" t="s">
        <v>38</v>
      </c>
      <c r="D74">
        <v>50507.612472926638</v>
      </c>
    </row>
    <row r="75" spans="1:4" x14ac:dyDescent="0.25">
      <c r="A75" t="s">
        <v>27</v>
      </c>
      <c r="B75" t="s">
        <v>39</v>
      </c>
      <c r="C75" t="s">
        <v>40</v>
      </c>
      <c r="D75">
        <v>0</v>
      </c>
    </row>
    <row r="76" spans="1:4" x14ac:dyDescent="0.25">
      <c r="A76" t="s">
        <v>27</v>
      </c>
      <c r="B76" t="s">
        <v>39</v>
      </c>
      <c r="C76" t="s">
        <v>41</v>
      </c>
      <c r="D76">
        <v>642328.03</v>
      </c>
    </row>
    <row r="77" spans="1:4" x14ac:dyDescent="0.25">
      <c r="A77" t="s">
        <v>27</v>
      </c>
      <c r="B77" t="s">
        <v>39</v>
      </c>
      <c r="C77" t="s">
        <v>42</v>
      </c>
      <c r="D77">
        <v>0</v>
      </c>
    </row>
    <row r="78" spans="1:4" x14ac:dyDescent="0.25">
      <c r="A78" t="s">
        <v>27</v>
      </c>
      <c r="B78" t="s">
        <v>39</v>
      </c>
      <c r="C78" t="s">
        <v>43</v>
      </c>
      <c r="D78">
        <v>4608226.9700000007</v>
      </c>
    </row>
    <row r="79" spans="1:4" x14ac:dyDescent="0.25">
      <c r="A79" t="s">
        <v>27</v>
      </c>
      <c r="B79" t="s">
        <v>44</v>
      </c>
      <c r="C79" t="s">
        <v>45</v>
      </c>
      <c r="D79">
        <v>10374500</v>
      </c>
    </row>
    <row r="80" spans="1:4" x14ac:dyDescent="0.25">
      <c r="A80" t="s">
        <v>27</v>
      </c>
      <c r="B80" t="s">
        <v>46</v>
      </c>
      <c r="C80" t="s">
        <v>40</v>
      </c>
      <c r="D80">
        <v>0</v>
      </c>
    </row>
    <row r="81" spans="1:4" x14ac:dyDescent="0.25">
      <c r="A81" t="s">
        <v>27</v>
      </c>
      <c r="B81" t="s">
        <v>46</v>
      </c>
      <c r="C81" t="s">
        <v>41</v>
      </c>
      <c r="D81">
        <v>1559787.24</v>
      </c>
    </row>
    <row r="82" spans="1:4" x14ac:dyDescent="0.25">
      <c r="A82" t="s">
        <v>27</v>
      </c>
      <c r="B82" t="s">
        <v>46</v>
      </c>
      <c r="C82" t="s">
        <v>42</v>
      </c>
      <c r="D82">
        <v>0</v>
      </c>
    </row>
    <row r="83" spans="1:4" x14ac:dyDescent="0.25">
      <c r="A83" t="s">
        <v>27</v>
      </c>
      <c r="B83" t="s">
        <v>46</v>
      </c>
      <c r="C83" t="s">
        <v>43</v>
      </c>
      <c r="D83">
        <v>2036504.76</v>
      </c>
    </row>
    <row r="84" spans="1:4" x14ac:dyDescent="0.25">
      <c r="A84" t="s">
        <v>27</v>
      </c>
      <c r="B84" t="s">
        <v>47</v>
      </c>
      <c r="C84" t="s">
        <v>40</v>
      </c>
      <c r="D84">
        <v>0</v>
      </c>
    </row>
    <row r="85" spans="1:4" x14ac:dyDescent="0.25">
      <c r="A85" t="s">
        <v>27</v>
      </c>
      <c r="B85" t="s">
        <v>47</v>
      </c>
      <c r="C85" t="s">
        <v>41</v>
      </c>
      <c r="D85">
        <v>1472385.3299999989</v>
      </c>
    </row>
    <row r="86" spans="1:4" x14ac:dyDescent="0.25">
      <c r="A86" t="s">
        <v>27</v>
      </c>
      <c r="B86" t="s">
        <v>47</v>
      </c>
      <c r="C86" t="s">
        <v>42</v>
      </c>
      <c r="D86">
        <v>0</v>
      </c>
    </row>
    <row r="87" spans="1:4" x14ac:dyDescent="0.25">
      <c r="A87" t="s">
        <v>27</v>
      </c>
      <c r="B87" t="s">
        <v>47</v>
      </c>
      <c r="C87" t="s">
        <v>43</v>
      </c>
      <c r="D87">
        <v>3836273.1436870489</v>
      </c>
    </row>
    <row r="88" spans="1:4" x14ac:dyDescent="0.25">
      <c r="A88" t="s">
        <v>27</v>
      </c>
      <c r="B88" t="s">
        <v>48</v>
      </c>
      <c r="C88" t="s">
        <v>40</v>
      </c>
      <c r="D88">
        <v>0</v>
      </c>
    </row>
    <row r="89" spans="1:4" x14ac:dyDescent="0.25">
      <c r="A89" t="s">
        <v>27</v>
      </c>
      <c r="B89" t="s">
        <v>48</v>
      </c>
      <c r="C89" t="s">
        <v>41</v>
      </c>
      <c r="D89">
        <v>36517.4</v>
      </c>
    </row>
    <row r="90" spans="1:4" x14ac:dyDescent="0.25">
      <c r="A90" t="s">
        <v>27</v>
      </c>
      <c r="B90" t="s">
        <v>48</v>
      </c>
      <c r="C90" t="s">
        <v>42</v>
      </c>
      <c r="D90">
        <v>0</v>
      </c>
    </row>
    <row r="91" spans="1:4" x14ac:dyDescent="0.25">
      <c r="A91" t="s">
        <v>27</v>
      </c>
      <c r="B91" t="s">
        <v>48</v>
      </c>
      <c r="C91" t="s">
        <v>43</v>
      </c>
      <c r="D91">
        <v>227107.75</v>
      </c>
    </row>
    <row r="92" spans="1:4" x14ac:dyDescent="0.25">
      <c r="A92" t="s">
        <v>28</v>
      </c>
      <c r="B92" t="s">
        <v>37</v>
      </c>
      <c r="C92" t="s">
        <v>38</v>
      </c>
      <c r="D92">
        <v>53115.2720608526</v>
      </c>
    </row>
    <row r="93" spans="1:4" x14ac:dyDescent="0.25">
      <c r="A93" t="s">
        <v>28</v>
      </c>
      <c r="B93" t="s">
        <v>39</v>
      </c>
      <c r="C93" t="s">
        <v>40</v>
      </c>
      <c r="D93">
        <v>0</v>
      </c>
    </row>
    <row r="94" spans="1:4" x14ac:dyDescent="0.25">
      <c r="A94" t="s">
        <v>28</v>
      </c>
      <c r="B94" t="s">
        <v>39</v>
      </c>
      <c r="C94" t="s">
        <v>41</v>
      </c>
      <c r="D94">
        <v>690397.15117310826</v>
      </c>
    </row>
    <row r="95" spans="1:4" x14ac:dyDescent="0.25">
      <c r="A95" t="s">
        <v>28</v>
      </c>
      <c r="B95" t="s">
        <v>39</v>
      </c>
      <c r="C95" t="s">
        <v>42</v>
      </c>
      <c r="D95">
        <v>0</v>
      </c>
    </row>
    <row r="96" spans="1:4" x14ac:dyDescent="0.25">
      <c r="A96" t="s">
        <v>28</v>
      </c>
      <c r="B96" t="s">
        <v>39</v>
      </c>
      <c r="C96" t="s">
        <v>43</v>
      </c>
      <c r="D96">
        <v>4838638.3176469496</v>
      </c>
    </row>
    <row r="97" spans="1:4" x14ac:dyDescent="0.25">
      <c r="A97" t="s">
        <v>28</v>
      </c>
      <c r="B97" t="s">
        <v>44</v>
      </c>
      <c r="C97" t="s">
        <v>45</v>
      </c>
      <c r="D97">
        <v>10260000</v>
      </c>
    </row>
    <row r="98" spans="1:4" x14ac:dyDescent="0.25">
      <c r="A98" t="s">
        <v>28</v>
      </c>
      <c r="B98" t="s">
        <v>44</v>
      </c>
      <c r="C98" t="s">
        <v>43</v>
      </c>
      <c r="D98">
        <v>1423664.8189999999</v>
      </c>
    </row>
    <row r="99" spans="1:4" x14ac:dyDescent="0.25">
      <c r="A99" t="s">
        <v>28</v>
      </c>
      <c r="B99" t="s">
        <v>46</v>
      </c>
      <c r="C99" t="s">
        <v>40</v>
      </c>
      <c r="D99">
        <v>0</v>
      </c>
    </row>
    <row r="100" spans="1:4" x14ac:dyDescent="0.25">
      <c r="A100" t="s">
        <v>28</v>
      </c>
      <c r="B100" t="s">
        <v>46</v>
      </c>
      <c r="C100" t="s">
        <v>41</v>
      </c>
      <c r="D100">
        <v>1671333.36</v>
      </c>
    </row>
    <row r="101" spans="1:4" x14ac:dyDescent="0.25">
      <c r="A101" t="s">
        <v>28</v>
      </c>
      <c r="B101" t="s">
        <v>46</v>
      </c>
      <c r="C101" t="s">
        <v>42</v>
      </c>
      <c r="D101">
        <v>0</v>
      </c>
    </row>
    <row r="102" spans="1:4" x14ac:dyDescent="0.25">
      <c r="A102" t="s">
        <v>28</v>
      </c>
      <c r="B102" t="s">
        <v>46</v>
      </c>
      <c r="C102" t="s">
        <v>43</v>
      </c>
      <c r="D102">
        <v>2213485.2200000002</v>
      </c>
    </row>
    <row r="103" spans="1:4" x14ac:dyDescent="0.25">
      <c r="A103" t="s">
        <v>28</v>
      </c>
      <c r="B103" t="s">
        <v>47</v>
      </c>
      <c r="C103" t="s">
        <v>40</v>
      </c>
      <c r="D103">
        <v>0</v>
      </c>
    </row>
    <row r="104" spans="1:4" x14ac:dyDescent="0.25">
      <c r="A104" t="s">
        <v>28</v>
      </c>
      <c r="B104" t="s">
        <v>47</v>
      </c>
      <c r="C104" t="s">
        <v>41</v>
      </c>
      <c r="D104">
        <v>1630930.209628569</v>
      </c>
    </row>
    <row r="105" spans="1:4" x14ac:dyDescent="0.25">
      <c r="A105" t="s">
        <v>28</v>
      </c>
      <c r="B105" t="s">
        <v>47</v>
      </c>
      <c r="C105" t="s">
        <v>42</v>
      </c>
      <c r="D105">
        <v>0</v>
      </c>
    </row>
    <row r="106" spans="1:4" x14ac:dyDescent="0.25">
      <c r="A106" t="s">
        <v>28</v>
      </c>
      <c r="B106" t="s">
        <v>47</v>
      </c>
      <c r="C106" t="s">
        <v>43</v>
      </c>
      <c r="D106">
        <v>4028076.4727680748</v>
      </c>
    </row>
    <row r="107" spans="1:4" x14ac:dyDescent="0.25">
      <c r="A107" t="s">
        <v>28</v>
      </c>
      <c r="B107" t="s">
        <v>48</v>
      </c>
      <c r="C107" t="s">
        <v>40</v>
      </c>
      <c r="D107">
        <v>0</v>
      </c>
    </row>
    <row r="108" spans="1:4" x14ac:dyDescent="0.25">
      <c r="A108" t="s">
        <v>28</v>
      </c>
      <c r="B108" t="s">
        <v>48</v>
      </c>
      <c r="C108" t="s">
        <v>41</v>
      </c>
      <c r="D108">
        <v>49520.639999999999</v>
      </c>
    </row>
    <row r="109" spans="1:4" x14ac:dyDescent="0.25">
      <c r="A109" t="s">
        <v>28</v>
      </c>
      <c r="B109" t="s">
        <v>48</v>
      </c>
      <c r="C109" t="s">
        <v>42</v>
      </c>
      <c r="D109">
        <v>0</v>
      </c>
    </row>
    <row r="110" spans="1:4" x14ac:dyDescent="0.25">
      <c r="A110" t="s">
        <v>28</v>
      </c>
      <c r="B110" t="s">
        <v>48</v>
      </c>
      <c r="C110" t="s">
        <v>43</v>
      </c>
      <c r="D110">
        <v>207922.31</v>
      </c>
    </row>
    <row r="111" spans="1:4" x14ac:dyDescent="0.25">
      <c r="A111" t="s">
        <v>29</v>
      </c>
      <c r="B111" t="s">
        <v>37</v>
      </c>
      <c r="C111" t="s">
        <v>38</v>
      </c>
      <c r="D111">
        <v>64064.343197911672</v>
      </c>
    </row>
    <row r="112" spans="1:4" x14ac:dyDescent="0.25">
      <c r="A112" t="s">
        <v>29</v>
      </c>
      <c r="B112" t="s">
        <v>39</v>
      </c>
      <c r="C112" t="s">
        <v>40</v>
      </c>
      <c r="D112">
        <v>0</v>
      </c>
    </row>
    <row r="113" spans="1:4" x14ac:dyDescent="0.25">
      <c r="A113" t="s">
        <v>29</v>
      </c>
      <c r="B113" t="s">
        <v>39</v>
      </c>
      <c r="C113" t="s">
        <v>41</v>
      </c>
      <c r="D113">
        <v>791990.03</v>
      </c>
    </row>
    <row r="114" spans="1:4" x14ac:dyDescent="0.25">
      <c r="A114" t="s">
        <v>29</v>
      </c>
      <c r="B114" t="s">
        <v>39</v>
      </c>
      <c r="C114" t="s">
        <v>42</v>
      </c>
      <c r="D114">
        <v>0</v>
      </c>
    </row>
    <row r="115" spans="1:4" x14ac:dyDescent="0.25">
      <c r="A115" t="s">
        <v>29</v>
      </c>
      <c r="B115" t="s">
        <v>39</v>
      </c>
      <c r="C115" t="s">
        <v>43</v>
      </c>
      <c r="D115">
        <v>3928430.05</v>
      </c>
    </row>
    <row r="116" spans="1:4" x14ac:dyDescent="0.25">
      <c r="A116" t="s">
        <v>29</v>
      </c>
      <c r="B116" t="s">
        <v>44</v>
      </c>
      <c r="C116" t="s">
        <v>45</v>
      </c>
      <c r="D116">
        <v>9252000</v>
      </c>
    </row>
    <row r="117" spans="1:4" x14ac:dyDescent="0.25">
      <c r="A117" t="s">
        <v>29</v>
      </c>
      <c r="B117" t="s">
        <v>44</v>
      </c>
      <c r="C117" t="s">
        <v>43</v>
      </c>
      <c r="D117">
        <v>1735000</v>
      </c>
    </row>
    <row r="118" spans="1:4" x14ac:dyDescent="0.25">
      <c r="A118" t="s">
        <v>29</v>
      </c>
      <c r="B118" t="s">
        <v>46</v>
      </c>
      <c r="C118" t="s">
        <v>40</v>
      </c>
      <c r="D118">
        <v>0</v>
      </c>
    </row>
    <row r="119" spans="1:4" x14ac:dyDescent="0.25">
      <c r="A119" t="s">
        <v>29</v>
      </c>
      <c r="B119" t="s">
        <v>46</v>
      </c>
      <c r="C119" t="s">
        <v>41</v>
      </c>
      <c r="D119">
        <v>919081.19000000006</v>
      </c>
    </row>
    <row r="120" spans="1:4" x14ac:dyDescent="0.25">
      <c r="A120" t="s">
        <v>29</v>
      </c>
      <c r="B120" t="s">
        <v>46</v>
      </c>
      <c r="C120" t="s">
        <v>42</v>
      </c>
      <c r="D120">
        <v>0</v>
      </c>
    </row>
    <row r="121" spans="1:4" x14ac:dyDescent="0.25">
      <c r="A121" t="s">
        <v>29</v>
      </c>
      <c r="B121" t="s">
        <v>46</v>
      </c>
      <c r="C121" t="s">
        <v>43</v>
      </c>
      <c r="D121">
        <v>12010120.560000001</v>
      </c>
    </row>
    <row r="122" spans="1:4" x14ac:dyDescent="0.25">
      <c r="A122" t="s">
        <v>29</v>
      </c>
      <c r="B122" t="s">
        <v>47</v>
      </c>
      <c r="C122" t="s">
        <v>40</v>
      </c>
      <c r="D122">
        <v>0</v>
      </c>
    </row>
    <row r="123" spans="1:4" x14ac:dyDescent="0.25">
      <c r="A123" t="s">
        <v>29</v>
      </c>
      <c r="B123" t="s">
        <v>47</v>
      </c>
      <c r="C123" t="s">
        <v>41</v>
      </c>
      <c r="D123">
        <v>1102886.55</v>
      </c>
    </row>
    <row r="124" spans="1:4" x14ac:dyDescent="0.25">
      <c r="A124" t="s">
        <v>29</v>
      </c>
      <c r="B124" t="s">
        <v>47</v>
      </c>
      <c r="C124" t="s">
        <v>42</v>
      </c>
      <c r="D124">
        <v>0</v>
      </c>
    </row>
    <row r="125" spans="1:4" x14ac:dyDescent="0.25">
      <c r="A125" t="s">
        <v>29</v>
      </c>
      <c r="B125" t="s">
        <v>47</v>
      </c>
      <c r="C125" t="s">
        <v>43</v>
      </c>
      <c r="D125">
        <v>3411702.7882250021</v>
      </c>
    </row>
    <row r="126" spans="1:4" x14ac:dyDescent="0.25">
      <c r="A126" t="s">
        <v>29</v>
      </c>
      <c r="B126" t="s">
        <v>48</v>
      </c>
      <c r="C126" t="s">
        <v>40</v>
      </c>
      <c r="D126">
        <v>0</v>
      </c>
    </row>
    <row r="127" spans="1:4" x14ac:dyDescent="0.25">
      <c r="A127" t="s">
        <v>29</v>
      </c>
      <c r="B127" t="s">
        <v>48</v>
      </c>
      <c r="C127" t="s">
        <v>41</v>
      </c>
      <c r="D127">
        <v>43770.3</v>
      </c>
    </row>
    <row r="128" spans="1:4" x14ac:dyDescent="0.25">
      <c r="A128" t="s">
        <v>29</v>
      </c>
      <c r="B128" t="s">
        <v>48</v>
      </c>
      <c r="C128" t="s">
        <v>42</v>
      </c>
      <c r="D128">
        <v>0</v>
      </c>
    </row>
    <row r="129" spans="1:4" x14ac:dyDescent="0.25">
      <c r="A129" t="s">
        <v>29</v>
      </c>
      <c r="B129" t="s">
        <v>48</v>
      </c>
      <c r="C129" t="s">
        <v>43</v>
      </c>
      <c r="D129">
        <v>261202.09</v>
      </c>
    </row>
    <row r="130" spans="1:4" x14ac:dyDescent="0.25">
      <c r="A130" t="s">
        <v>30</v>
      </c>
      <c r="B130" t="s">
        <v>37</v>
      </c>
      <c r="C130" t="s">
        <v>38</v>
      </c>
      <c r="D130">
        <v>59304.021136655923</v>
      </c>
    </row>
    <row r="131" spans="1:4" x14ac:dyDescent="0.25">
      <c r="A131" t="s">
        <v>30</v>
      </c>
      <c r="B131" t="s">
        <v>39</v>
      </c>
      <c r="C131" t="s">
        <v>40</v>
      </c>
      <c r="D131">
        <v>0</v>
      </c>
    </row>
    <row r="132" spans="1:4" x14ac:dyDescent="0.25">
      <c r="A132" t="s">
        <v>30</v>
      </c>
      <c r="B132" t="s">
        <v>39</v>
      </c>
      <c r="C132" t="s">
        <v>41</v>
      </c>
      <c r="D132">
        <v>791990.04</v>
      </c>
    </row>
    <row r="133" spans="1:4" x14ac:dyDescent="0.25">
      <c r="A133" t="s">
        <v>30</v>
      </c>
      <c r="B133" t="s">
        <v>39</v>
      </c>
      <c r="C133" t="s">
        <v>42</v>
      </c>
      <c r="D133">
        <v>0</v>
      </c>
    </row>
    <row r="134" spans="1:4" x14ac:dyDescent="0.25">
      <c r="A134" t="s">
        <v>30</v>
      </c>
      <c r="B134" t="s">
        <v>39</v>
      </c>
      <c r="C134" t="s">
        <v>43</v>
      </c>
      <c r="D134">
        <v>3928430.05</v>
      </c>
    </row>
    <row r="135" spans="1:4" x14ac:dyDescent="0.25">
      <c r="A135" t="s">
        <v>30</v>
      </c>
      <c r="B135" t="s">
        <v>44</v>
      </c>
      <c r="C135" t="s">
        <v>45</v>
      </c>
      <c r="D135">
        <v>9662474.3699999992</v>
      </c>
    </row>
    <row r="136" spans="1:4" x14ac:dyDescent="0.25">
      <c r="A136" t="s">
        <v>30</v>
      </c>
      <c r="B136" t="s">
        <v>44</v>
      </c>
      <c r="C136" t="s">
        <v>43</v>
      </c>
      <c r="D136">
        <v>1674000</v>
      </c>
    </row>
    <row r="137" spans="1:4" x14ac:dyDescent="0.25">
      <c r="A137" t="s">
        <v>30</v>
      </c>
      <c r="B137" t="s">
        <v>46</v>
      </c>
      <c r="C137" t="s">
        <v>40</v>
      </c>
      <c r="D137">
        <v>0</v>
      </c>
    </row>
    <row r="138" spans="1:4" x14ac:dyDescent="0.25">
      <c r="A138" t="s">
        <v>30</v>
      </c>
      <c r="B138" t="s">
        <v>46</v>
      </c>
      <c r="C138" t="s">
        <v>41</v>
      </c>
      <c r="D138">
        <v>866778.71</v>
      </c>
    </row>
    <row r="139" spans="1:4" x14ac:dyDescent="0.25">
      <c r="A139" t="s">
        <v>30</v>
      </c>
      <c r="B139" t="s">
        <v>46</v>
      </c>
      <c r="C139" t="s">
        <v>42</v>
      </c>
      <c r="D139">
        <v>0</v>
      </c>
    </row>
    <row r="140" spans="1:4" x14ac:dyDescent="0.25">
      <c r="A140" t="s">
        <v>30</v>
      </c>
      <c r="B140" t="s">
        <v>46</v>
      </c>
      <c r="C140" t="s">
        <v>43</v>
      </c>
      <c r="D140">
        <v>11422985.73</v>
      </c>
    </row>
    <row r="141" spans="1:4" x14ac:dyDescent="0.25">
      <c r="A141" t="s">
        <v>30</v>
      </c>
      <c r="B141" t="s">
        <v>47</v>
      </c>
      <c r="C141" t="s">
        <v>40</v>
      </c>
      <c r="D141">
        <v>0</v>
      </c>
    </row>
    <row r="142" spans="1:4" x14ac:dyDescent="0.25">
      <c r="A142" t="s">
        <v>30</v>
      </c>
      <c r="B142" t="s">
        <v>47</v>
      </c>
      <c r="C142" t="s">
        <v>41</v>
      </c>
      <c r="D142">
        <v>1057332.54</v>
      </c>
    </row>
    <row r="143" spans="1:4" x14ac:dyDescent="0.25">
      <c r="A143" t="s">
        <v>30</v>
      </c>
      <c r="B143" t="s">
        <v>47</v>
      </c>
      <c r="C143" t="s">
        <v>42</v>
      </c>
      <c r="D143">
        <v>0</v>
      </c>
    </row>
    <row r="144" spans="1:4" x14ac:dyDescent="0.25">
      <c r="A144" t="s">
        <v>30</v>
      </c>
      <c r="B144" t="s">
        <v>47</v>
      </c>
      <c r="C144" t="s">
        <v>43</v>
      </c>
      <c r="D144">
        <v>3264124.189999999</v>
      </c>
    </row>
    <row r="145" spans="1:4" x14ac:dyDescent="0.25">
      <c r="A145" t="s">
        <v>30</v>
      </c>
      <c r="B145" t="s">
        <v>48</v>
      </c>
      <c r="C145" t="s">
        <v>40</v>
      </c>
      <c r="D145">
        <v>0</v>
      </c>
    </row>
    <row r="146" spans="1:4" x14ac:dyDescent="0.25">
      <c r="A146" t="s">
        <v>30</v>
      </c>
      <c r="B146" t="s">
        <v>48</v>
      </c>
      <c r="C146" t="s">
        <v>41</v>
      </c>
      <c r="D146">
        <v>40792.26</v>
      </c>
    </row>
    <row r="147" spans="1:4" x14ac:dyDescent="0.25">
      <c r="A147" t="s">
        <v>30</v>
      </c>
      <c r="B147" t="s">
        <v>48</v>
      </c>
      <c r="C147" t="s">
        <v>42</v>
      </c>
      <c r="D147">
        <v>0</v>
      </c>
    </row>
    <row r="148" spans="1:4" x14ac:dyDescent="0.25">
      <c r="A148" t="s">
        <v>30</v>
      </c>
      <c r="B148" t="s">
        <v>48</v>
      </c>
      <c r="C148" t="s">
        <v>43</v>
      </c>
      <c r="D148">
        <v>318131.02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Base Rateio</vt:lpstr>
      <vt:lpstr>Base Rateio 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OLIVEIRA DE PAULA</dc:creator>
  <cp:lastModifiedBy>DANIEL ALEXANDRE RAMAZZOTTE</cp:lastModifiedBy>
  <cp:revision>0</cp:revision>
  <dcterms:created xsi:type="dcterms:W3CDTF">2026-07-21T20:12:27Z</dcterms:created>
  <dcterms:modified xsi:type="dcterms:W3CDTF">2026-08-07T18:50:07Z</dcterms:modified>
</cp:coreProperties>
</file>